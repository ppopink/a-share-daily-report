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摘要" sheetId="1" state="visible" r:id="rId1"/>
    <sheet xmlns:r="http://schemas.openxmlformats.org/officeDocument/2006/relationships" name="选股详情" sheetId="2" state="visible" r:id="rId2"/>
    <sheet xmlns:r="http://schemas.openxmlformats.org/officeDocument/2006/relationships" name="技术诊断" sheetId="3" state="visible" r:id="rId3"/>
    <sheet xmlns:r="http://schemas.openxmlformats.org/officeDocument/2006/relationships" name="筛选漏斗" sheetId="4" state="visible" r:id="rId4"/>
    <sheet xmlns:r="http://schemas.openxmlformats.org/officeDocument/2006/relationships" name="准确性评估" sheetId="5" state="visible" r:id="rId5"/>
  </sheets>
  <definedNames>
    <definedName name="_xlnm._FilterDatabase" localSheetId="1" hidden="1">'选股详情'!$A$1:$AU$21</definedName>
    <definedName name="_xlnm._FilterDatabase" localSheetId="2" hidden="1">'技术诊断'!$A$3:$F$20</definedName>
    <definedName name="_xlnm._FilterDatabase" localSheetId="3" hidden="1">'筛选漏斗'!$A$3:$E$20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FFFFFF"/>
      <sz val="18"/>
    </font>
    <font>
      <b val="1"/>
    </font>
    <font>
      <b val="1"/>
      <color rgb="001F4E78"/>
    </font>
    <font>
      <b val="1"/>
      <color rgb="00FFFFFF"/>
    </font>
    <font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3">
    <border>
      <left/>
      <right/>
      <top/>
      <bottom/>
      <diagonal/>
    </border>
    <border>
      <bottom style="thin">
        <color rgb="00D9E2F3"/>
      </bottom>
    </border>
    <border>
      <bottom style="thin">
        <color rgb="00E7E6E6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2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3" borderId="2" applyAlignment="1" pivotButton="0" quotePrefix="0" xfId="0">
      <alignment vertical="center"/>
    </xf>
    <xf numFmtId="0" fontId="0" fillId="0" borderId="2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3" fillId="0" borderId="2" applyAlignment="1" pivotButton="0" quotePrefix="0" xfId="0">
      <alignment vertical="center"/>
    </xf>
    <xf numFmtId="0" fontId="4" fillId="2" borderId="2" applyAlignment="1" pivotButton="0" quotePrefix="0" xfId="0">
      <alignment vertical="center"/>
    </xf>
    <xf numFmtId="0" fontId="5" fillId="0" borderId="2" applyAlignment="1" pivotButton="0" quotePrefix="0" xfId="0">
      <alignment vertical="center"/>
    </xf>
  </cellXfs>
  <cellStyles count="1">
    <cellStyle name="Normal" xfId="0" builtinId="0" hidden="0"/>
  </cellStyles>
  <dxfs count="2">
    <dxf>
      <fill>
        <patternFill patternType="solid">
          <fgColor rgb="00E2F0D9"/>
        </patternFill>
      </fill>
    </dxf>
    <dxf>
      <fill>
        <patternFill patternType="solid">
          <fgColor rgb="00FCE4D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Top股票总分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'选股详情'!G1</f>
            </strRef>
          </tx>
          <spPr>
            <a:ln xmlns:a="http://schemas.openxmlformats.org/drawingml/2006/main">
              <a:prstDash val="solid"/>
            </a:ln>
          </spPr>
          <cat>
            <numRef>
              <f>'选股详情'!$C$2:$C$21</f>
            </numRef>
          </cat>
          <val>
            <numRef>
              <f>'选股详情'!$G$2:$G$21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股票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总分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ADX 与量比</a:t>
            </a:r>
          </a:p>
        </rich>
      </tx>
    </title>
    <plotArea>
      <scatterChart>
        <ser>
          <idx val="0"/>
          <order val="0"/>
          <tx>
            <v>候选股</v>
          </tx>
          <spPr>
            <a:ln xmlns:a="http://schemas.openxmlformats.org/drawingml/2006/main">
              <a:prstDash val="solid"/>
            </a:ln>
          </spPr>
          <marker>
            <symbol val="none"/>
            <spPr>
              <a:ln xmlns:a="http://schemas.openxmlformats.org/drawingml/2006/main">
                <a:prstDash val="solid"/>
              </a:ln>
            </spPr>
          </marker>
          <xVal>
            <numRef>
              <f>'选股详情'!$AA$2:$AA$21</f>
            </numRef>
          </xVal>
          <yVal>
            <numRef>
              <f>'选股详情'!$X$2:$X$21</f>
            </numRef>
          </yVal>
        </ser>
        <axId val="10"/>
        <axId val="20"/>
      </scatterChart>
      <valAx>
        <axId val="1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量比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ADX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4</col>
      <colOff>0</colOff>
      <row>2</row>
      <rowOff>0</rowOff>
    </from>
    <ext cx="648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4</col>
      <colOff>0</colOff>
      <row>19</row>
      <rowOff>0</rowOff>
    </from>
    <ext cx="6480000" cy="288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StockPicks" displayName="StockPicks" ref="A1:AU21" headerRowCount="1">
  <autoFilter ref="A1:AU21"/>
  <tableColumns count="47">
    <tableColumn id="1" name="排名"/>
    <tableColumn id="2" name="代码"/>
    <tableColumn id="3" name="名称"/>
    <tableColumn id="4" name="行业"/>
    <tableColumn id="5" name="现价"/>
    <tableColumn id="6" name="涨跌幅%"/>
    <tableColumn id="7" name="总分"/>
    <tableColumn id="8" name="趋势"/>
    <tableColumn id="9" name="20日线上天数"/>
    <tableColumn id="10" name="MA20十日斜率%"/>
    <tableColumn id="11" name="股价/MA20"/>
    <tableColumn id="12" name="量能"/>
    <tableColumn id="13" name="DMI"/>
    <tableColumn id="14" name="MACD"/>
    <tableColumn id="15" name="EXPMA"/>
    <tableColumn id="16" name="资金"/>
    <tableColumn id="17" name="板块"/>
    <tableColumn id="18" name="领涨"/>
    <tableColumn id="19" name="事件上下文"/>
    <tableColumn id="20" name="近期大事件"/>
    <tableColumn id="21" name="融资融券"/>
    <tableColumn id="22" name="龙虎榜"/>
    <tableColumn id="23" name="上下文说明"/>
    <tableColumn id="24" name="ADX"/>
    <tableColumn id="25" name="+DI"/>
    <tableColumn id="26" name="-DI"/>
    <tableColumn id="27" name="量比"/>
    <tableColumn id="28" name="主力净流入比"/>
    <tableColumn id="29" name="板块排名分位"/>
    <tableColumn id="30" name="板块内排名分位"/>
    <tableColumn id="31" name="入场时机"/>
    <tableColumn id="32" name="计划持有日"/>
    <tableColumn id="33" name="止损价"/>
    <tableColumn id="34" name="第一止盈"/>
    <tableColumn id="35" name="第二止盈"/>
    <tableColumn id="36" name="移动止盈"/>
    <tableColumn id="37" name="盈亏比"/>
    <tableColumn id="38" name="退出计划"/>
    <tableColumn id="39" name="第1日止损"/>
    <tableColumn id="40" name="第1日止盈"/>
    <tableColumn id="41" name="第1日计划"/>
    <tableColumn id="42" name="第2日止损"/>
    <tableColumn id="43" name="第2日止盈"/>
    <tableColumn id="44" name="第2日计划"/>
    <tableColumn id="45" name="第3日止损"/>
    <tableColumn id="46" name="第3日止盈"/>
    <tableColumn id="47" name="第3日计划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  <col width="8" customWidth="1" min="3" max="3"/>
  </cols>
  <sheetData>
    <row r="1" ht="22" customHeight="1">
      <c r="A1" s="1" t="inlineStr">
        <is>
          <t>K线选股日报 - 2026-06-29</t>
        </is>
      </c>
      <c r="B1" s="2" t="n"/>
      <c r="C1" s="2" t="n"/>
      <c r="D1" s="2" t="n"/>
      <c r="E1" s="2" t="n"/>
      <c r="F1" s="2" t="n"/>
      <c r="G1" s="2" t="n"/>
      <c r="H1" s="2" t="n"/>
    </row>
    <row r="2" ht="22" customHeight="1">
      <c r="A2" s="2" t="n"/>
      <c r="B2" s="2" t="n"/>
      <c r="C2" s="2" t="n"/>
      <c r="D2" s="2" t="n"/>
      <c r="E2" s="2" t="n"/>
      <c r="F2" s="2" t="n"/>
      <c r="G2" s="2" t="n"/>
      <c r="H2" s="2" t="n"/>
    </row>
    <row r="3" ht="22" customHeight="1">
      <c r="A3" s="3" t="inlineStr">
        <is>
          <t>入选数量</t>
        </is>
      </c>
      <c r="B3" s="4" t="n">
        <v>20</v>
      </c>
      <c r="C3" s="4" t="inlineStr">
        <is>
          <t>只</t>
        </is>
      </c>
      <c r="D3" s="2" t="n"/>
      <c r="E3" s="2" t="n"/>
      <c r="F3" s="2" t="n"/>
      <c r="G3" s="2" t="n"/>
      <c r="H3" s="2" t="n"/>
    </row>
    <row r="4" ht="22" customHeight="1">
      <c r="A4" s="3" t="inlineStr">
        <is>
          <t>最高分股票</t>
        </is>
      </c>
      <c r="B4" s="4" t="inlineStr">
        <is>
          <t>依依股份(001206)</t>
        </is>
      </c>
      <c r="C4" s="5" t="inlineStr"/>
      <c r="D4" s="2" t="n"/>
      <c r="E4" s="2" t="n"/>
      <c r="F4" s="2" t="n"/>
      <c r="G4" s="2" t="n"/>
      <c r="H4" s="2" t="n"/>
    </row>
    <row r="5" ht="22" customHeight="1">
      <c r="A5" s="3" t="inlineStr">
        <is>
          <t>最高分</t>
        </is>
      </c>
      <c r="B5" s="4" t="n">
        <v>91.16</v>
      </c>
      <c r="C5" s="5" t="inlineStr"/>
      <c r="D5" s="2" t="n"/>
      <c r="E5" s="2" t="n"/>
      <c r="F5" s="2" t="n"/>
      <c r="G5" s="2" t="n"/>
      <c r="H5" s="2" t="n"/>
    </row>
    <row r="6" ht="22" customHeight="1">
      <c r="A6" s="3" t="inlineStr">
        <is>
          <t>平均分</t>
        </is>
      </c>
      <c r="B6" s="4" t="n">
        <v>80.9435</v>
      </c>
      <c r="C6" s="5" t="inlineStr"/>
      <c r="D6" s="2" t="n"/>
      <c r="E6" s="2" t="n"/>
      <c r="F6" s="2" t="n"/>
      <c r="G6" s="2" t="n"/>
      <c r="H6" s="2" t="n"/>
    </row>
    <row r="7" ht="22" customHeight="1">
      <c r="A7" s="3" t="inlineStr">
        <is>
          <t>平均ADX</t>
        </is>
      </c>
      <c r="B7" s="4" t="n">
        <v>52.45</v>
      </c>
      <c r="C7" s="5" t="inlineStr"/>
      <c r="D7" s="2" t="n"/>
      <c r="E7" s="2" t="n"/>
      <c r="F7" s="2" t="n"/>
      <c r="G7" s="2" t="n"/>
      <c r="H7" s="2" t="n"/>
    </row>
    <row r="8" ht="22" customHeight="1">
      <c r="A8" s="3" t="inlineStr">
        <is>
          <t>平均量比</t>
        </is>
      </c>
      <c r="B8" s="4" t="n">
        <v>1.738</v>
      </c>
      <c r="C8" s="5" t="inlineStr"/>
      <c r="D8" s="2" t="n"/>
      <c r="E8" s="2" t="n"/>
      <c r="F8" s="2" t="n"/>
      <c r="G8" s="2" t="n"/>
      <c r="H8" s="2" t="n"/>
    </row>
    <row r="9" ht="22" customHeight="1">
      <c r="A9" s="3" t="inlineStr">
        <is>
          <t>风险提示数</t>
        </is>
      </c>
      <c r="B9" s="4" t="n">
        <v>11</v>
      </c>
      <c r="C9" s="4" t="inlineStr">
        <is>
          <t>只</t>
        </is>
      </c>
      <c r="D9" s="2" t="n"/>
      <c r="E9" s="2" t="n"/>
      <c r="F9" s="2" t="n"/>
      <c r="G9" s="2" t="n"/>
      <c r="H9" s="2" t="n"/>
    </row>
    <row r="10" ht="22" customHeight="1">
      <c r="A10" s="2" t="n"/>
      <c r="B10" s="2" t="n"/>
      <c r="C10" s="2" t="n"/>
      <c r="D10" s="2" t="n"/>
      <c r="E10" s="2" t="n"/>
      <c r="F10" s="2" t="n"/>
      <c r="G10" s="2" t="n"/>
      <c r="H10" s="2" t="n"/>
    </row>
    <row r="11" ht="22" customHeight="1">
      <c r="A11" s="2" t="n"/>
      <c r="B11" s="2" t="n"/>
      <c r="C11" s="2" t="n"/>
      <c r="D11" s="2" t="n"/>
      <c r="E11" s="2" t="n"/>
      <c r="F11" s="2" t="n"/>
      <c r="G11" s="2" t="n"/>
      <c r="H11" s="2" t="n"/>
    </row>
    <row r="12" ht="22" customHeight="1">
      <c r="A12" s="6" t="inlineStr">
        <is>
          <t>阅读提示</t>
        </is>
      </c>
      <c r="B12" s="2" t="n"/>
      <c r="C12" s="2" t="n"/>
      <c r="D12" s="2" t="n"/>
      <c r="E12" s="2" t="n"/>
      <c r="F12" s="2" t="n"/>
      <c r="G12" s="2" t="n"/>
      <c r="H12" s="2" t="n"/>
    </row>
    <row r="13" ht="22" customHeight="1">
      <c r="A13" s="4" t="inlineStr">
        <is>
          <t>1. 本报告仅用于规则选股跟踪，不构成投资建议。</t>
        </is>
      </c>
      <c r="B13" s="2" t="n"/>
      <c r="C13" s="2" t="n"/>
      <c r="D13" s="2" t="n"/>
      <c r="E13" s="2" t="n"/>
      <c r="F13" s="2" t="n"/>
      <c r="G13" s="2" t="n"/>
      <c r="H13" s="2" t="n"/>
    </row>
    <row r="14" ht="22" customHeight="1">
      <c r="A14" s="4" t="inlineStr">
        <is>
          <t>2. 总分越高代表规则综合排序越靠前；仍需结合流动性、涨跌停、停牌和市场环境。</t>
        </is>
      </c>
      <c r="B14" s="2" t="n"/>
      <c r="C14" s="2" t="n"/>
      <c r="D14" s="2" t="n"/>
      <c r="E14" s="2" t="n"/>
      <c r="F14" s="2" t="n"/>
      <c r="G14" s="2" t="n"/>
      <c r="H14" s="2" t="n"/>
    </row>
    <row r="15" ht="22" customHeight="1">
      <c r="A15" s="4" t="inlineStr">
        <is>
          <t>3. 准确性评估需要未来交易日样本成熟后才会出现有效统计。</t>
        </is>
      </c>
      <c r="B15" s="2" t="n"/>
      <c r="C15" s="2" t="n"/>
      <c r="D15" s="2" t="n"/>
      <c r="E15" s="2" t="n"/>
      <c r="F15" s="2" t="n"/>
      <c r="G15" s="2" t="n"/>
      <c r="H15" s="2" t="n"/>
    </row>
  </sheetData>
  <mergeCells count="1">
    <mergeCell ref="A1:H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U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8" customWidth="1" min="2" max="2"/>
    <col width="8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9" customWidth="1" min="9" max="9"/>
    <col width="11" customWidth="1" min="10" max="10"/>
    <col width="10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26" customWidth="1" min="20" max="20"/>
    <col width="14" customWidth="1" min="21" max="21"/>
    <col width="9" customWidth="1" min="22" max="22"/>
    <col width="28" customWidth="1" min="23" max="23"/>
    <col width="8" customWidth="1" min="24" max="24"/>
    <col width="8" customWidth="1" min="25" max="25"/>
    <col width="8" customWidth="1" min="26" max="26"/>
    <col width="8" customWidth="1" min="27" max="27"/>
    <col width="10" customWidth="1" min="28" max="28"/>
    <col width="8" customWidth="1" min="29" max="29"/>
    <col width="9" customWidth="1" min="30" max="30"/>
    <col width="14" customWidth="1" min="31" max="31"/>
    <col width="8" customWidth="1" min="32" max="32"/>
    <col width="8" customWidth="1" min="33" max="33"/>
    <col width="8" customWidth="1" min="34" max="34"/>
    <col width="8" customWidth="1" min="35" max="35"/>
    <col width="8" customWidth="1" min="36" max="36"/>
    <col width="8" customWidth="1" min="37" max="37"/>
    <col width="28" customWidth="1" min="38" max="38"/>
    <col width="8" customWidth="1" min="39" max="39"/>
    <col width="8" customWidth="1" min="40" max="40"/>
    <col width="28" customWidth="1" min="41" max="41"/>
    <col width="8" customWidth="1" min="42" max="42"/>
    <col width="8" customWidth="1" min="43" max="43"/>
    <col width="28" customWidth="1" min="44" max="44"/>
    <col width="8" customWidth="1" min="45" max="45"/>
    <col width="8" customWidth="1" min="46" max="46"/>
    <col width="28" customWidth="1" min="47" max="47"/>
  </cols>
  <sheetData>
    <row r="1" ht="22" customHeight="1">
      <c r="A1" s="7" t="inlineStr">
        <is>
          <t>排名</t>
        </is>
      </c>
      <c r="B1" s="7" t="inlineStr">
        <is>
          <t>代码</t>
        </is>
      </c>
      <c r="C1" s="7" t="inlineStr">
        <is>
          <t>名称</t>
        </is>
      </c>
      <c r="D1" s="7" t="inlineStr">
        <is>
          <t>行业</t>
        </is>
      </c>
      <c r="E1" s="7" t="inlineStr">
        <is>
          <t>现价</t>
        </is>
      </c>
      <c r="F1" s="7" t="inlineStr">
        <is>
          <t>涨跌幅%</t>
        </is>
      </c>
      <c r="G1" s="7" t="inlineStr">
        <is>
          <t>总分</t>
        </is>
      </c>
      <c r="H1" s="7" t="inlineStr">
        <is>
          <t>趋势</t>
        </is>
      </c>
      <c r="I1" s="7" t="inlineStr">
        <is>
          <t>20日线上天数</t>
        </is>
      </c>
      <c r="J1" s="7" t="inlineStr">
        <is>
          <t>MA20十日斜率%</t>
        </is>
      </c>
      <c r="K1" s="7" t="inlineStr">
        <is>
          <t>股价/MA20</t>
        </is>
      </c>
      <c r="L1" s="7" t="inlineStr">
        <is>
          <t>量能</t>
        </is>
      </c>
      <c r="M1" s="7" t="inlineStr">
        <is>
          <t>DMI</t>
        </is>
      </c>
      <c r="N1" s="7" t="inlineStr">
        <is>
          <t>MACD</t>
        </is>
      </c>
      <c r="O1" s="7" t="inlineStr">
        <is>
          <t>EXPMA</t>
        </is>
      </c>
      <c r="P1" s="7" t="inlineStr">
        <is>
          <t>资金</t>
        </is>
      </c>
      <c r="Q1" s="7" t="inlineStr">
        <is>
          <t>板块</t>
        </is>
      </c>
      <c r="R1" s="7" t="inlineStr">
        <is>
          <t>领涨</t>
        </is>
      </c>
      <c r="S1" s="7" t="inlineStr">
        <is>
          <t>事件上下文</t>
        </is>
      </c>
      <c r="T1" s="7" t="inlineStr">
        <is>
          <t>近期大事件</t>
        </is>
      </c>
      <c r="U1" s="7" t="inlineStr">
        <is>
          <t>融资融券</t>
        </is>
      </c>
      <c r="V1" s="7" t="inlineStr">
        <is>
          <t>龙虎榜</t>
        </is>
      </c>
      <c r="W1" s="7" t="inlineStr">
        <is>
          <t>上下文说明</t>
        </is>
      </c>
      <c r="X1" s="7" t="inlineStr">
        <is>
          <t>ADX</t>
        </is>
      </c>
      <c r="Y1" s="7" t="inlineStr">
        <is>
          <t>+DI</t>
        </is>
      </c>
      <c r="Z1" s="7" t="inlineStr">
        <is>
          <t>-DI</t>
        </is>
      </c>
      <c r="AA1" s="7" t="inlineStr">
        <is>
          <t>量比</t>
        </is>
      </c>
      <c r="AB1" s="7" t="inlineStr">
        <is>
          <t>主力净流入比</t>
        </is>
      </c>
      <c r="AC1" s="7" t="inlineStr">
        <is>
          <t>板块排名分位</t>
        </is>
      </c>
      <c r="AD1" s="7" t="inlineStr">
        <is>
          <t>板块内排名分位</t>
        </is>
      </c>
      <c r="AE1" s="7" t="inlineStr">
        <is>
          <t>入场时机</t>
        </is>
      </c>
      <c r="AF1" s="7" t="inlineStr">
        <is>
          <t>计划持有日</t>
        </is>
      </c>
      <c r="AG1" s="7" t="inlineStr">
        <is>
          <t>止损价</t>
        </is>
      </c>
      <c r="AH1" s="7" t="inlineStr">
        <is>
          <t>第一止盈</t>
        </is>
      </c>
      <c r="AI1" s="7" t="inlineStr">
        <is>
          <t>第二止盈</t>
        </is>
      </c>
      <c r="AJ1" s="7" t="inlineStr">
        <is>
          <t>移动止盈</t>
        </is>
      </c>
      <c r="AK1" s="7" t="inlineStr">
        <is>
          <t>盈亏比</t>
        </is>
      </c>
      <c r="AL1" s="7" t="inlineStr">
        <is>
          <t>退出计划</t>
        </is>
      </c>
      <c r="AM1" s="7" t="inlineStr">
        <is>
          <t>第1日止损</t>
        </is>
      </c>
      <c r="AN1" s="7" t="inlineStr">
        <is>
          <t>第1日止盈</t>
        </is>
      </c>
      <c r="AO1" s="7" t="inlineStr">
        <is>
          <t>第1日计划</t>
        </is>
      </c>
      <c r="AP1" s="7" t="inlineStr">
        <is>
          <t>第2日止损</t>
        </is>
      </c>
      <c r="AQ1" s="7" t="inlineStr">
        <is>
          <t>第2日止盈</t>
        </is>
      </c>
      <c r="AR1" s="7" t="inlineStr">
        <is>
          <t>第2日计划</t>
        </is>
      </c>
      <c r="AS1" s="7" t="inlineStr">
        <is>
          <t>第3日止损</t>
        </is>
      </c>
      <c r="AT1" s="7" t="inlineStr">
        <is>
          <t>第3日止盈</t>
        </is>
      </c>
      <c r="AU1" s="7" t="inlineStr">
        <is>
          <t>第3日计划</t>
        </is>
      </c>
    </row>
    <row r="2" ht="22" customHeight="1">
      <c r="A2" s="4" t="n">
        <v>1</v>
      </c>
      <c r="B2" s="4" t="inlineStr">
        <is>
          <t>001206</t>
        </is>
      </c>
      <c r="C2" s="4" t="inlineStr">
        <is>
          <t>依依股份</t>
        </is>
      </c>
      <c r="D2" s="2" t="inlineStr"/>
      <c r="E2" s="4" t="n">
        <v>20.94</v>
      </c>
      <c r="F2" s="4" t="n">
        <v>9.4</v>
      </c>
      <c r="G2" s="4" t="n">
        <v>91.16</v>
      </c>
      <c r="H2" s="4" t="n">
        <v>10.32</v>
      </c>
      <c r="I2" s="4" t="n">
        <v>11</v>
      </c>
      <c r="J2" s="4" t="n">
        <v>3.2144</v>
      </c>
      <c r="K2" s="4" t="n">
        <v>1.20988</v>
      </c>
      <c r="L2" s="4" t="n">
        <v>6.02</v>
      </c>
      <c r="M2" s="4" t="n">
        <v>15</v>
      </c>
      <c r="N2" s="4" t="n">
        <v>8</v>
      </c>
      <c r="O2" s="4" t="n">
        <v>10</v>
      </c>
      <c r="P2" s="4" t="n">
        <v>13.29</v>
      </c>
      <c r="Q2" s="4" t="n">
        <v>20</v>
      </c>
      <c r="R2" s="4" t="n">
        <v>8.52</v>
      </c>
      <c r="S2" s="4" t="n">
        <v>0</v>
      </c>
      <c r="T2" s="4" t="inlineStr">
        <is>
          <t>近期公告中性</t>
        </is>
      </c>
      <c r="U2" s="4" t="inlineStr">
        <is>
          <t>无两融数据</t>
        </is>
      </c>
      <c r="V2" s="4" t="inlineStr">
        <is>
          <t>近期未上龙虎榜</t>
        </is>
      </c>
      <c r="W2" s="4" t="inlineStr">
        <is>
          <t>近期公告中性；无两融数据；近期未上龙虎榜</t>
        </is>
      </c>
      <c r="X2" s="4" t="n">
        <v>51.3</v>
      </c>
      <c r="Y2" s="4" t="n">
        <v>46.55</v>
      </c>
      <c r="Z2" s="4" t="n">
        <v>8.5</v>
      </c>
      <c r="AA2" s="4" t="n">
        <v>1.51</v>
      </c>
      <c r="AB2" s="4" t="n">
        <v>0.24568</v>
      </c>
      <c r="AC2" s="4" t="n">
        <v>0.1475</v>
      </c>
      <c r="AD2" s="4" t="n">
        <v>0.1475</v>
      </c>
      <c r="AE2" s="4" t="inlineStr">
        <is>
          <t>🟡 首日上涨，可关注</t>
        </is>
      </c>
      <c r="AF2" s="4" t="n">
        <v>1</v>
      </c>
      <c r="AG2" s="4" t="n">
        <v>19.47</v>
      </c>
      <c r="AH2" s="4" t="n">
        <v>23.29</v>
      </c>
      <c r="AI2" s="4" t="n">
        <v>24.75</v>
      </c>
      <c r="AJ2" s="4" t="n">
        <v>19.8</v>
      </c>
      <c r="AK2" s="4" t="n">
        <v>1.6</v>
      </c>
      <c r="AL2" s="4" t="inlineStr">
        <is>
          <t>1日短线计划；T+1看22.26/止损20.21；T+2看22.70/止损19.70；T+3看23.29/止损19.80</t>
        </is>
      </c>
      <c r="AM2" s="4" t="n">
        <v>20.21</v>
      </c>
      <c r="AN2" s="4" t="n">
        <v>22.26</v>
      </c>
      <c r="AO2" s="4" t="inlineStr">
        <is>
          <t>T+1：冲到22.26先减仓，跌破20.21止损；若高开低走不恋战</t>
        </is>
      </c>
      <c r="AP2" s="4" t="n">
        <v>19.7</v>
      </c>
      <c r="AQ2" s="4" t="n">
        <v>22.7</v>
      </c>
      <c r="AR2" s="4" t="inlineStr">
        <is>
          <t>T+2：未突破22.70且量能转弱则减仓，跌破19.70退出</t>
        </is>
      </c>
      <c r="AS2" s="4" t="n">
        <v>19.8</v>
      </c>
      <c r="AT2" s="4" t="n">
        <v>23.29</v>
      </c>
      <c r="AU2" s="4" t="inlineStr">
        <is>
          <t>T+3：到23.29分批止盈，跌破19.80或MA5失守退出</t>
        </is>
      </c>
    </row>
    <row r="3" ht="22" customHeight="1">
      <c r="A3" s="4" t="n">
        <v>2</v>
      </c>
      <c r="B3" s="4" t="inlineStr">
        <is>
          <t>600857</t>
        </is>
      </c>
      <c r="C3" s="4" t="inlineStr">
        <is>
          <t>宁波中百</t>
        </is>
      </c>
      <c r="D3" s="2" t="inlineStr"/>
      <c r="E3" s="4" t="n">
        <v>19.66</v>
      </c>
      <c r="F3" s="4" t="n">
        <v>10.02</v>
      </c>
      <c r="G3" s="4" t="n">
        <v>88.45</v>
      </c>
      <c r="H3" s="4" t="n">
        <v>12.2</v>
      </c>
      <c r="I3" s="4" t="n">
        <v>14</v>
      </c>
      <c r="J3" s="4" t="n">
        <v>6.9878</v>
      </c>
      <c r="K3" s="4" t="n">
        <v>1.232911</v>
      </c>
      <c r="L3" s="4" t="n">
        <v>7.49</v>
      </c>
      <c r="M3" s="4" t="n">
        <v>14.7</v>
      </c>
      <c r="N3" s="4" t="n">
        <v>15</v>
      </c>
      <c r="O3" s="4" t="n">
        <v>10</v>
      </c>
      <c r="P3" s="4" t="n">
        <v>10.19</v>
      </c>
      <c r="Q3" s="4" t="n">
        <v>20</v>
      </c>
      <c r="R3" s="4" t="n">
        <v>9.67</v>
      </c>
      <c r="S3" s="4" t="n">
        <v>-0.8</v>
      </c>
      <c r="T3" s="4" t="inlineStr">
        <is>
          <t>公告偏风险(0个负面关键词, 1个异动/风险词)</t>
        </is>
      </c>
      <c r="U3" s="4" t="inlineStr">
        <is>
          <t>无两融数据</t>
        </is>
      </c>
      <c r="V3" s="4" t="inlineStr">
        <is>
          <t>近期未上龙虎榜</t>
        </is>
      </c>
      <c r="W3" s="4" t="inlineStr">
        <is>
          <t>公告偏风险(0个负面关键词, 1个异动/风险词)；无两融数据；近期未上龙虎榜</t>
        </is>
      </c>
      <c r="X3" s="4" t="n">
        <v>44.4</v>
      </c>
      <c r="Y3" s="4" t="n">
        <v>41.07</v>
      </c>
      <c r="Z3" s="4" t="n">
        <v>6.84</v>
      </c>
      <c r="AA3" s="4" t="n">
        <v>1.87</v>
      </c>
      <c r="AB3" s="4" t="n">
        <v>0.114994</v>
      </c>
      <c r="AC3" s="4" t="n">
        <v>0.0328</v>
      </c>
      <c r="AD3" s="4" t="n">
        <v>0.0328</v>
      </c>
      <c r="AE3" s="4" t="inlineStr">
        <is>
          <t>🟠 连涨多日，等回调再入</t>
        </is>
      </c>
      <c r="AF3" s="4" t="n">
        <v>1</v>
      </c>
      <c r="AG3" s="4" t="n">
        <v>18.28</v>
      </c>
      <c r="AH3" s="4" t="n">
        <v>21.86</v>
      </c>
      <c r="AI3" s="4" t="n">
        <v>23.24</v>
      </c>
      <c r="AJ3" s="4" t="n">
        <v>18.28</v>
      </c>
      <c r="AK3" s="4" t="n">
        <v>1.6</v>
      </c>
      <c r="AL3" s="4" t="inlineStr">
        <is>
          <t>1日短线计划；T+1看20.90/止损18.97；T+2看21.31/止损18.28；T+3看21.86/止损18.28</t>
        </is>
      </c>
      <c r="AM3" s="4" t="n">
        <v>18.97</v>
      </c>
      <c r="AN3" s="4" t="n">
        <v>20.9</v>
      </c>
      <c r="AO3" s="4" t="inlineStr">
        <is>
          <t>T+1：冲到20.90先减仓，跌破18.97止损；若高开低走不恋战</t>
        </is>
      </c>
      <c r="AP3" s="4" t="n">
        <v>18.28</v>
      </c>
      <c r="AQ3" s="4" t="n">
        <v>21.31</v>
      </c>
      <c r="AR3" s="4" t="inlineStr">
        <is>
          <t>T+2：未突破21.31且量能转弱则减仓，跌破18.28退出</t>
        </is>
      </c>
      <c r="AS3" s="4" t="n">
        <v>18.28</v>
      </c>
      <c r="AT3" s="4" t="n">
        <v>21.86</v>
      </c>
      <c r="AU3" s="4" t="inlineStr">
        <is>
          <t>T+3：到21.86分批止盈，跌破18.28或MA5失守退出</t>
        </is>
      </c>
    </row>
    <row r="4" ht="22" customHeight="1">
      <c r="A4" s="4" t="n">
        <v>3</v>
      </c>
      <c r="B4" s="4" t="inlineStr">
        <is>
          <t>000566</t>
        </is>
      </c>
      <c r="C4" s="4" t="inlineStr">
        <is>
          <t>海南海药</t>
        </is>
      </c>
      <c r="D4" s="2" t="inlineStr"/>
      <c r="E4" s="4" t="n">
        <v>4.54</v>
      </c>
      <c r="F4" s="4" t="n">
        <v>9.93</v>
      </c>
      <c r="G4" s="4" t="n">
        <v>88.25</v>
      </c>
      <c r="H4" s="4" t="n">
        <v>7.35</v>
      </c>
      <c r="I4" s="4" t="n">
        <v>5</v>
      </c>
      <c r="J4" s="4" t="n">
        <v>-2.053</v>
      </c>
      <c r="K4" s="4" t="n">
        <v>1.126132</v>
      </c>
      <c r="L4" s="4" t="n">
        <v>6.29</v>
      </c>
      <c r="M4" s="4" t="n">
        <v>15</v>
      </c>
      <c r="N4" s="4" t="n">
        <v>8</v>
      </c>
      <c r="O4" s="4" t="n">
        <v>10</v>
      </c>
      <c r="P4" s="4" t="n">
        <v>13.53</v>
      </c>
      <c r="Q4" s="4" t="n">
        <v>20</v>
      </c>
      <c r="R4" s="4" t="n">
        <v>8.69</v>
      </c>
      <c r="S4" s="4" t="n">
        <v>-2.6</v>
      </c>
      <c r="T4" s="4" t="inlineStr">
        <is>
          <t>公告偏风险(0个负面关键词, 1个异动/风险词)</t>
        </is>
      </c>
      <c r="U4" s="4" t="inlineStr">
        <is>
          <t>融资余额下降-2.5%</t>
        </is>
      </c>
      <c r="V4" s="4" t="inlineStr">
        <is>
          <t>近期未上龙虎榜</t>
        </is>
      </c>
      <c r="W4" s="4" t="inlineStr">
        <is>
          <t>公告偏风险(0个负面关键词, 1个异动/风险词)；融资余额下降-2.5%；近期未上龙虎榜</t>
        </is>
      </c>
      <c r="X4" s="4" t="n">
        <v>49</v>
      </c>
      <c r="Y4" s="4" t="n">
        <v>35.07</v>
      </c>
      <c r="Z4" s="4" t="n">
        <v>25.6</v>
      </c>
      <c r="AA4" s="4" t="n">
        <v>1.57</v>
      </c>
      <c r="AB4" s="4" t="n">
        <v>0.255823</v>
      </c>
      <c r="AC4" s="4" t="n">
        <v>0.1311</v>
      </c>
      <c r="AD4" s="4" t="n">
        <v>0.1311</v>
      </c>
      <c r="AE4" s="4" t="inlineStr">
        <is>
          <t>🟢 趋势启动，适合入场</t>
        </is>
      </c>
      <c r="AF4" s="4" t="n">
        <v>3</v>
      </c>
      <c r="AG4" s="4" t="n">
        <v>4.22</v>
      </c>
      <c r="AH4" s="4" t="n">
        <v>5.05</v>
      </c>
      <c r="AI4" s="4" t="n">
        <v>5.37</v>
      </c>
      <c r="AJ4" s="4" t="n">
        <v>4.32</v>
      </c>
      <c r="AK4" s="4" t="n">
        <v>1.6</v>
      </c>
      <c r="AL4" s="4" t="inlineStr">
        <is>
          <t>3日短线计划；T+1看4.83/止损4.38；T+2看4.92/止损4.34；T+3看5.05/止损4.32</t>
        </is>
      </c>
      <c r="AM4" s="4" t="n">
        <v>4.38</v>
      </c>
      <c r="AN4" s="4" t="n">
        <v>4.83</v>
      </c>
      <c r="AO4" s="4" t="inlineStr">
        <is>
          <t>T+1：冲到4.83先减仓，跌破4.38止损；若高开低走不恋战</t>
        </is>
      </c>
      <c r="AP4" s="4" t="n">
        <v>4.34</v>
      </c>
      <c r="AQ4" s="4" t="n">
        <v>4.92</v>
      </c>
      <c r="AR4" s="4" t="inlineStr">
        <is>
          <t>T+2：未突破4.92且量能转弱则减仓，跌破4.34退出</t>
        </is>
      </c>
      <c r="AS4" s="4" t="n">
        <v>4.32</v>
      </c>
      <c r="AT4" s="4" t="n">
        <v>5.05</v>
      </c>
      <c r="AU4" s="4" t="inlineStr">
        <is>
          <t>T+3：到5.05分批止盈，跌破4.32或MA5失守退出</t>
        </is>
      </c>
    </row>
    <row r="5" ht="22" customHeight="1">
      <c r="A5" s="4" t="n">
        <v>4</v>
      </c>
      <c r="B5" s="4" t="inlineStr">
        <is>
          <t>600579</t>
        </is>
      </c>
      <c r="C5" s="4" t="inlineStr">
        <is>
          <t>中化装备</t>
        </is>
      </c>
      <c r="D5" s="2" t="inlineStr"/>
      <c r="E5" s="4" t="n">
        <v>8.09</v>
      </c>
      <c r="F5" s="4" t="n">
        <v>4.52</v>
      </c>
      <c r="G5" s="4" t="n">
        <v>87.79000000000001</v>
      </c>
      <c r="H5" s="4" t="n">
        <v>13.14</v>
      </c>
      <c r="I5" s="4" t="n">
        <v>11</v>
      </c>
      <c r="J5" s="4" t="n">
        <v>3.5953</v>
      </c>
      <c r="K5" s="4" t="n">
        <v>1.145974</v>
      </c>
      <c r="L5" s="4" t="n">
        <v>6.94</v>
      </c>
      <c r="M5" s="4" t="n">
        <v>15</v>
      </c>
      <c r="N5" s="4" t="n">
        <v>8</v>
      </c>
      <c r="O5" s="4" t="n">
        <v>10</v>
      </c>
      <c r="P5" s="4" t="n">
        <v>13.29</v>
      </c>
      <c r="Q5" s="4" t="n">
        <v>15</v>
      </c>
      <c r="R5" s="4" t="n">
        <v>4.92</v>
      </c>
      <c r="S5" s="4" t="n">
        <v>1.5</v>
      </c>
      <c r="T5" s="4" t="inlineStr">
        <is>
          <t>公告偏正面(1个积极关键词)</t>
        </is>
      </c>
      <c r="U5" s="4" t="inlineStr">
        <is>
          <t>无两融数据</t>
        </is>
      </c>
      <c r="V5" s="4" t="inlineStr">
        <is>
          <t>近期未上龙虎榜</t>
        </is>
      </c>
      <c r="W5" s="4" t="inlineStr">
        <is>
          <t>公告偏正面(1个积极关键词)；无两融数据；近期未上龙虎榜</t>
        </is>
      </c>
      <c r="X5" s="4" t="n">
        <v>49.8</v>
      </c>
      <c r="Y5" s="4" t="n">
        <v>41.33</v>
      </c>
      <c r="Z5" s="4" t="n">
        <v>11.66</v>
      </c>
      <c r="AA5" s="4" t="n">
        <v>1.73</v>
      </c>
      <c r="AB5" s="4" t="n">
        <v>0.245581</v>
      </c>
      <c r="AC5" s="4" t="n">
        <v>0.5082</v>
      </c>
      <c r="AD5" s="4" t="n">
        <v>0.5082</v>
      </c>
      <c r="AE5" s="4" t="inlineStr">
        <is>
          <t>🟡 首日上涨，可关注</t>
        </is>
      </c>
      <c r="AF5" s="4" t="n">
        <v>3</v>
      </c>
      <c r="AG5" s="4" t="n">
        <v>7.52</v>
      </c>
      <c r="AH5" s="4" t="n">
        <v>9</v>
      </c>
      <c r="AI5" s="4" t="n">
        <v>9.66</v>
      </c>
      <c r="AJ5" s="4" t="n">
        <v>7.52</v>
      </c>
      <c r="AK5" s="4" t="n">
        <v>1.6</v>
      </c>
      <c r="AL5" s="4" t="inlineStr">
        <is>
          <t>3日短线计划；T+1看8.60/止损7.81；T+2看8.77/止损7.54；T+3看9.00/止损7.52</t>
        </is>
      </c>
      <c r="AM5" s="4" t="n">
        <v>7.81</v>
      </c>
      <c r="AN5" s="4" t="n">
        <v>8.6</v>
      </c>
      <c r="AO5" s="4" t="inlineStr">
        <is>
          <t>T+1：冲到8.60先减仓，跌破7.81止损；若高开低走不恋战</t>
        </is>
      </c>
      <c r="AP5" s="4" t="n">
        <v>7.54</v>
      </c>
      <c r="AQ5" s="4" t="n">
        <v>8.77</v>
      </c>
      <c r="AR5" s="4" t="inlineStr">
        <is>
          <t>T+2：未突破8.77且量能转弱则减仓，跌破7.54退出</t>
        </is>
      </c>
      <c r="AS5" s="4" t="n">
        <v>7.52</v>
      </c>
      <c r="AT5" s="4" t="n">
        <v>9</v>
      </c>
      <c r="AU5" s="4" t="inlineStr">
        <is>
          <t>T+3：到9.00分批止盈，跌破7.52或MA5失守退出</t>
        </is>
      </c>
    </row>
    <row r="6" ht="22" customHeight="1">
      <c r="A6" s="4" t="n">
        <v>5</v>
      </c>
      <c r="B6" s="4" t="inlineStr">
        <is>
          <t>603257</t>
        </is>
      </c>
      <c r="C6" s="4" t="inlineStr">
        <is>
          <t>中国瑞林</t>
        </is>
      </c>
      <c r="D6" s="2" t="inlineStr"/>
      <c r="E6" s="4" t="n">
        <v>75</v>
      </c>
      <c r="F6" s="4" t="n">
        <v>5.53</v>
      </c>
      <c r="G6" s="4" t="n">
        <v>85.20999999999999</v>
      </c>
      <c r="H6" s="4" t="n">
        <v>15</v>
      </c>
      <c r="I6" s="4" t="n">
        <v>19</v>
      </c>
      <c r="J6" s="4" t="n">
        <v>7.7605</v>
      </c>
      <c r="K6" s="4" t="n">
        <v>1.102066</v>
      </c>
      <c r="L6" s="4" t="n">
        <v>6.37</v>
      </c>
      <c r="M6" s="4" t="n">
        <v>12.99</v>
      </c>
      <c r="N6" s="4" t="n">
        <v>8</v>
      </c>
      <c r="O6" s="4" t="n">
        <v>10</v>
      </c>
      <c r="P6" s="4" t="n">
        <v>9.99</v>
      </c>
      <c r="Q6" s="4" t="n">
        <v>15</v>
      </c>
      <c r="R6" s="4" t="n">
        <v>6.07</v>
      </c>
      <c r="S6" s="4" t="n">
        <v>-0.2</v>
      </c>
      <c r="T6" s="4" t="inlineStr">
        <is>
          <t>近期公告中性</t>
        </is>
      </c>
      <c r="U6" s="4" t="inlineStr">
        <is>
          <t>融资余额下降-1.1%</t>
        </is>
      </c>
      <c r="V6" s="4" t="inlineStr">
        <is>
          <t>近期未上龙虎榜</t>
        </is>
      </c>
      <c r="W6" s="4" t="inlineStr">
        <is>
          <t>近期公告中性；融资余额下降-1.1%；近期未上龙虎榜</t>
        </is>
      </c>
      <c r="X6" s="4" t="n">
        <v>41</v>
      </c>
      <c r="Y6" s="4" t="n">
        <v>29.04</v>
      </c>
      <c r="Z6" s="4" t="n">
        <v>5.62</v>
      </c>
      <c r="AA6" s="4" t="n">
        <v>1.59</v>
      </c>
      <c r="AB6" s="4" t="n">
        <v>0.106365</v>
      </c>
      <c r="AC6" s="4" t="n">
        <v>0.3934</v>
      </c>
      <c r="AD6" s="4" t="n">
        <v>0.3934</v>
      </c>
      <c r="AE6" s="4" t="inlineStr">
        <is>
          <t>🟡 首日上涨，可关注</t>
        </is>
      </c>
      <c r="AF6" s="4" t="n">
        <v>3</v>
      </c>
      <c r="AG6" s="4" t="n">
        <v>69.75</v>
      </c>
      <c r="AH6" s="4" t="n">
        <v>83.40000000000001</v>
      </c>
      <c r="AI6" s="4" t="n">
        <v>88.65000000000001</v>
      </c>
      <c r="AJ6" s="4" t="n">
        <v>71.22</v>
      </c>
      <c r="AK6" s="4" t="n">
        <v>1.6</v>
      </c>
      <c r="AL6" s="4" t="inlineStr">
        <is>
          <t>3日短线计划；T+1看79.72/止损72.38；T+2看81.30/止损70.94；T+3看83.40/止损71.22</t>
        </is>
      </c>
      <c r="AM6" s="4" t="n">
        <v>72.38</v>
      </c>
      <c r="AN6" s="4" t="n">
        <v>79.72</v>
      </c>
      <c r="AO6" s="4" t="inlineStr">
        <is>
          <t>T+1：冲到79.72先减仓，跌破72.38止损；若高开低走不恋战</t>
        </is>
      </c>
      <c r="AP6" s="4" t="n">
        <v>70.94</v>
      </c>
      <c r="AQ6" s="4" t="n">
        <v>81.3</v>
      </c>
      <c r="AR6" s="4" t="inlineStr">
        <is>
          <t>T+2：未突破81.30且量能转弱则减仓，跌破70.94退出</t>
        </is>
      </c>
      <c r="AS6" s="4" t="n">
        <v>71.22</v>
      </c>
      <c r="AT6" s="4" t="n">
        <v>83.40000000000001</v>
      </c>
      <c r="AU6" s="4" t="inlineStr">
        <is>
          <t>T+3：到83.40分批止盈，跌破71.22或MA5失守退出</t>
        </is>
      </c>
    </row>
    <row r="7" ht="22" customHeight="1">
      <c r="A7" s="4" t="n">
        <v>6</v>
      </c>
      <c r="B7" s="4" t="inlineStr">
        <is>
          <t>603407</t>
        </is>
      </c>
      <c r="C7" s="4" t="inlineStr">
        <is>
          <t>长裕集团</t>
        </is>
      </c>
      <c r="D7" s="2" t="inlineStr"/>
      <c r="E7" s="4" t="n">
        <v>97.2</v>
      </c>
      <c r="F7" s="4" t="n">
        <v>5.96</v>
      </c>
      <c r="G7" s="4" t="n">
        <v>84.48999999999999</v>
      </c>
      <c r="H7" s="4" t="n">
        <v>10.7</v>
      </c>
      <c r="I7" s="4" t="n">
        <v>9</v>
      </c>
      <c r="J7" s="4" t="n">
        <v>11.6523</v>
      </c>
      <c r="K7" s="4" t="n">
        <v>1.471423</v>
      </c>
      <c r="L7" s="4" t="n">
        <v>5.47</v>
      </c>
      <c r="M7" s="4" t="n">
        <v>15</v>
      </c>
      <c r="N7" s="4" t="n">
        <v>8</v>
      </c>
      <c r="O7" s="4" t="n">
        <v>10</v>
      </c>
      <c r="P7" s="4" t="n">
        <v>12.4</v>
      </c>
      <c r="Q7" s="4" t="n">
        <v>15</v>
      </c>
      <c r="R7" s="4" t="n">
        <v>6.72</v>
      </c>
      <c r="S7" s="4" t="n">
        <v>1.2</v>
      </c>
      <c r="T7" s="4" t="inlineStr">
        <is>
          <t>公告偏风险(0个负面关键词, 2个异动/风险词)</t>
        </is>
      </c>
      <c r="U7" s="4" t="inlineStr">
        <is>
          <t>融资余额上升191.9%</t>
        </is>
      </c>
      <c r="V7" s="4" t="inlineStr">
        <is>
          <t>近期未上龙虎榜</t>
        </is>
      </c>
      <c r="W7" s="4" t="inlineStr">
        <is>
          <t>公告偏风险(0个负面关键词, 2个异动/风险词)；融资余额上升191.9%；近期未上龙虎榜</t>
        </is>
      </c>
      <c r="X7" s="4" t="n">
        <v>72.3</v>
      </c>
      <c r="Y7" s="4" t="n">
        <v>61.91</v>
      </c>
      <c r="Z7" s="4" t="n">
        <v>3.36</v>
      </c>
      <c r="AA7" s="4" t="n">
        <v>1.37</v>
      </c>
      <c r="AB7" s="4" t="n">
        <v>0.208153</v>
      </c>
      <c r="AC7" s="4" t="n">
        <v>0.3279</v>
      </c>
      <c r="AD7" s="4" t="n">
        <v>0.3279</v>
      </c>
      <c r="AE7" s="4" t="inlineStr">
        <is>
          <t>🟡 首日上涨，可关注</t>
        </is>
      </c>
      <c r="AF7" s="4" t="n">
        <v>1</v>
      </c>
      <c r="AG7" s="4" t="n">
        <v>90.40000000000001</v>
      </c>
      <c r="AH7" s="4" t="n">
        <v>108.09</v>
      </c>
      <c r="AI7" s="4" t="n">
        <v>115.41</v>
      </c>
      <c r="AJ7" s="4" t="n">
        <v>90.40000000000001</v>
      </c>
      <c r="AK7" s="4" t="n">
        <v>1.6</v>
      </c>
      <c r="AL7" s="4" t="inlineStr">
        <is>
          <t>1日短线计划；T+1看103.32/止损93.80；T+2看105.36/止损90.40；T+3看108.09/止损90.40</t>
        </is>
      </c>
      <c r="AM7" s="4" t="n">
        <v>93.8</v>
      </c>
      <c r="AN7" s="4" t="n">
        <v>103.32</v>
      </c>
      <c r="AO7" s="4" t="inlineStr">
        <is>
          <t>T+1：冲到103.32先减仓，跌破93.80止损；若高开低走不恋战</t>
        </is>
      </c>
      <c r="AP7" s="4" t="n">
        <v>90.40000000000001</v>
      </c>
      <c r="AQ7" s="4" t="n">
        <v>105.36</v>
      </c>
      <c r="AR7" s="4" t="inlineStr">
        <is>
          <t>T+2：未突破105.36且量能转弱则减仓，跌破90.40退出</t>
        </is>
      </c>
      <c r="AS7" s="4" t="n">
        <v>90.40000000000001</v>
      </c>
      <c r="AT7" s="4" t="n">
        <v>108.09</v>
      </c>
      <c r="AU7" s="4" t="inlineStr">
        <is>
          <t>T+3：到108.09分批止盈，跌破90.40或MA5失守退出</t>
        </is>
      </c>
    </row>
    <row r="8" ht="22" customHeight="1">
      <c r="A8" s="4" t="n">
        <v>7</v>
      </c>
      <c r="B8" s="4" t="inlineStr">
        <is>
          <t>600276</t>
        </is>
      </c>
      <c r="C8" s="4" t="inlineStr">
        <is>
          <t>恒瑞医药</t>
        </is>
      </c>
      <c r="D8" s="2" t="inlineStr"/>
      <c r="E8" s="4" t="n">
        <v>52.82</v>
      </c>
      <c r="F8" s="4" t="n">
        <v>8.529999999999999</v>
      </c>
      <c r="G8" s="4" t="n">
        <v>82.59999999999999</v>
      </c>
      <c r="H8" s="4" t="n">
        <v>8.75</v>
      </c>
      <c r="I8" s="4" t="n">
        <v>7</v>
      </c>
      <c r="J8" s="4" t="n">
        <v>-1.193</v>
      </c>
      <c r="K8" s="4" t="n">
        <v>1.093922</v>
      </c>
      <c r="L8" s="4" t="n">
        <v>7.28</v>
      </c>
      <c r="M8" s="4" t="n">
        <v>12.27</v>
      </c>
      <c r="N8" s="4" t="n">
        <v>8</v>
      </c>
      <c r="O8" s="4" t="n">
        <v>8.99</v>
      </c>
      <c r="P8" s="4" t="n">
        <v>8.42</v>
      </c>
      <c r="Q8" s="4" t="n">
        <v>20</v>
      </c>
      <c r="R8" s="4" t="n">
        <v>8.199999999999999</v>
      </c>
      <c r="S8" s="4" t="n">
        <v>0.7</v>
      </c>
      <c r="T8" s="4" t="inlineStr">
        <is>
          <t>公告偏正面(1个积极关键词)</t>
        </is>
      </c>
      <c r="U8" s="4" t="inlineStr">
        <is>
          <t>融资余额下降0.6%</t>
        </is>
      </c>
      <c r="V8" s="4" t="inlineStr">
        <is>
          <t>近期未上龙虎榜</t>
        </is>
      </c>
      <c r="W8" s="4" t="inlineStr">
        <is>
          <t>公告偏正面(1个积极关键词)；融资余额下降0.6%；近期未上龙虎榜</t>
        </is>
      </c>
      <c r="X8" s="4" t="n">
        <v>39.5</v>
      </c>
      <c r="Y8" s="4" t="n">
        <v>33.3</v>
      </c>
      <c r="Z8" s="4" t="n">
        <v>6.55</v>
      </c>
      <c r="AA8" s="4" t="n">
        <v>1.82</v>
      </c>
      <c r="AB8" s="4" t="n">
        <v>0.040322</v>
      </c>
      <c r="AC8" s="4" t="n">
        <v>0.1803</v>
      </c>
      <c r="AD8" s="4" t="n">
        <v>0.1803</v>
      </c>
      <c r="AE8" s="4" t="inlineStr">
        <is>
          <t>🟠 连涨2天，注意节奏</t>
        </is>
      </c>
      <c r="AF8" s="4" t="n">
        <v>3</v>
      </c>
      <c r="AG8" s="4" t="n">
        <v>49.42</v>
      </c>
      <c r="AH8" s="4" t="n">
        <v>58.26</v>
      </c>
      <c r="AI8" s="4" t="n">
        <v>61.66</v>
      </c>
      <c r="AJ8" s="4" t="n">
        <v>50.55</v>
      </c>
      <c r="AK8" s="4" t="n">
        <v>1.6</v>
      </c>
      <c r="AL8" s="4" t="inlineStr">
        <is>
          <t>3日短线计划；T+1看55.88/止损50.97；T+2看56.90/止损50.36；T+3看58.26/止损50.55</t>
        </is>
      </c>
      <c r="AM8" s="4" t="n">
        <v>50.97</v>
      </c>
      <c r="AN8" s="4" t="n">
        <v>55.88</v>
      </c>
      <c r="AO8" s="4" t="inlineStr">
        <is>
          <t>T+1：冲到55.88先减仓，跌破50.97止损；若高开低走不恋战</t>
        </is>
      </c>
      <c r="AP8" s="4" t="n">
        <v>50.36</v>
      </c>
      <c r="AQ8" s="4" t="n">
        <v>56.9</v>
      </c>
      <c r="AR8" s="4" t="inlineStr">
        <is>
          <t>T+2：未突破56.90且量能转弱则减仓，跌破50.36退出</t>
        </is>
      </c>
      <c r="AS8" s="4" t="n">
        <v>50.55</v>
      </c>
      <c r="AT8" s="4" t="n">
        <v>58.26</v>
      </c>
      <c r="AU8" s="4" t="inlineStr">
        <is>
          <t>T+3：到58.26分批止盈，跌破50.55或MA5失守退出</t>
        </is>
      </c>
    </row>
    <row r="9" ht="22" customHeight="1">
      <c r="A9" s="4" t="n">
        <v>8</v>
      </c>
      <c r="B9" s="4" t="inlineStr">
        <is>
          <t>603155</t>
        </is>
      </c>
      <c r="C9" s="4" t="inlineStr">
        <is>
          <t>新亚强</t>
        </is>
      </c>
      <c r="D9" s="2" t="inlineStr"/>
      <c r="E9" s="4" t="n">
        <v>27.54</v>
      </c>
      <c r="F9" s="4" t="n">
        <v>8.68</v>
      </c>
      <c r="G9" s="4" t="n">
        <v>82.26000000000001</v>
      </c>
      <c r="H9" s="4" t="n">
        <v>13.4</v>
      </c>
      <c r="I9" s="4" t="n">
        <v>18</v>
      </c>
      <c r="J9" s="4" t="n">
        <v>9.357799999999999</v>
      </c>
      <c r="K9" s="4" t="n">
        <v>1.253185</v>
      </c>
      <c r="L9" s="4" t="n">
        <v>7.83</v>
      </c>
      <c r="M9" s="4" t="n">
        <v>11.73</v>
      </c>
      <c r="N9" s="4" t="n">
        <v>15</v>
      </c>
      <c r="O9" s="4" t="n">
        <v>10</v>
      </c>
      <c r="P9" s="4" t="n">
        <v>8.94</v>
      </c>
      <c r="Q9" s="4" t="n">
        <v>20</v>
      </c>
      <c r="R9" s="4" t="n">
        <v>8.359999999999999</v>
      </c>
      <c r="S9" s="4" t="n">
        <v>-3</v>
      </c>
      <c r="T9" s="4" t="inlineStr">
        <is>
          <t>公告偏风险(1个负面关键词, 2个异动/风险词)</t>
        </is>
      </c>
      <c r="U9" s="4" t="inlineStr">
        <is>
          <t>无两融数据</t>
        </is>
      </c>
      <c r="V9" s="4" t="inlineStr">
        <is>
          <t>近期未上龙虎榜</t>
        </is>
      </c>
      <c r="W9" s="4" t="inlineStr">
        <is>
          <t>公告偏风险(1个负面关键词, 2个异动/风险词)；无两融数据；近期未上龙虎榜</t>
        </is>
      </c>
      <c r="X9" s="4" t="n">
        <v>38.5</v>
      </c>
      <c r="Y9" s="4" t="n">
        <v>50.28</v>
      </c>
      <c r="Z9" s="4" t="n">
        <v>9.98</v>
      </c>
      <c r="AA9" s="4" t="n">
        <v>1.96</v>
      </c>
      <c r="AB9" s="4" t="n">
        <v>0.062342</v>
      </c>
      <c r="AC9" s="4" t="n">
        <v>0.1639</v>
      </c>
      <c r="AD9" s="4" t="n">
        <v>0.1639</v>
      </c>
      <c r="AE9" s="4" t="inlineStr">
        <is>
          <t>🟠 连涨多日，等回调再入</t>
        </is>
      </c>
      <c r="AF9" s="4" t="n">
        <v>1</v>
      </c>
      <c r="AG9" s="4" t="n">
        <v>25.61</v>
      </c>
      <c r="AH9" s="4" t="n">
        <v>30.62</v>
      </c>
      <c r="AI9" s="4" t="n">
        <v>33.49</v>
      </c>
      <c r="AJ9" s="4" t="n">
        <v>25.61</v>
      </c>
      <c r="AK9" s="4" t="n">
        <v>1.6</v>
      </c>
      <c r="AL9" s="4" t="inlineStr">
        <is>
          <t>1日短线计划；T+1看29.28/止损26.58；T+2看29.92/止损25.61；T+3看30.62/止损25.61</t>
        </is>
      </c>
      <c r="AM9" s="4" t="n">
        <v>26.58</v>
      </c>
      <c r="AN9" s="4" t="n">
        <v>29.28</v>
      </c>
      <c r="AO9" s="4" t="inlineStr">
        <is>
          <t>T+1：冲到29.28先减仓，跌破26.58止损；若高开低走不恋战</t>
        </is>
      </c>
      <c r="AP9" s="4" t="n">
        <v>25.61</v>
      </c>
      <c r="AQ9" s="4" t="n">
        <v>29.92</v>
      </c>
      <c r="AR9" s="4" t="inlineStr">
        <is>
          <t>T+2：未突破29.92且量能转弱则减仓，跌破25.61退出</t>
        </is>
      </c>
      <c r="AS9" s="4" t="n">
        <v>25.61</v>
      </c>
      <c r="AT9" s="4" t="n">
        <v>30.62</v>
      </c>
      <c r="AU9" s="4" t="inlineStr">
        <is>
          <t>T+3：到30.62分批止盈，跌破25.61或MA5失守退出</t>
        </is>
      </c>
    </row>
    <row r="10" ht="22" customHeight="1">
      <c r="A10" s="4" t="n">
        <v>9</v>
      </c>
      <c r="B10" s="4" t="inlineStr">
        <is>
          <t>600552</t>
        </is>
      </c>
      <c r="C10" s="4" t="inlineStr">
        <is>
          <t>凯盛科技</t>
        </is>
      </c>
      <c r="D10" s="2" t="inlineStr"/>
      <c r="E10" s="4" t="n">
        <v>31.29</v>
      </c>
      <c r="F10" s="4" t="n">
        <v>5.71</v>
      </c>
      <c r="G10" s="4" t="n">
        <v>81.64</v>
      </c>
      <c r="H10" s="4" t="n">
        <v>13.7</v>
      </c>
      <c r="I10" s="4" t="n">
        <v>19</v>
      </c>
      <c r="J10" s="4" t="n">
        <v>17.529</v>
      </c>
      <c r="K10" s="4" t="n">
        <v>1.367959</v>
      </c>
      <c r="L10" s="4" t="n">
        <v>7.71</v>
      </c>
      <c r="M10" s="4" t="n">
        <v>15</v>
      </c>
      <c r="N10" s="4" t="n">
        <v>8</v>
      </c>
      <c r="O10" s="4" t="n">
        <v>10</v>
      </c>
      <c r="P10" s="4" t="n">
        <v>10.07</v>
      </c>
      <c r="Q10" s="4" t="n">
        <v>15</v>
      </c>
      <c r="R10" s="4" t="n">
        <v>6.56</v>
      </c>
      <c r="S10" s="4" t="n">
        <v>-0.4</v>
      </c>
      <c r="T10" s="4" t="inlineStr">
        <is>
          <t>公告偏风险(0个负面关键词, 2个异动/风险词)</t>
        </is>
      </c>
      <c r="U10" s="4" t="inlineStr">
        <is>
          <t>融资余额上升26.5%</t>
        </is>
      </c>
      <c r="V10" s="4" t="inlineStr">
        <is>
          <t>近期未上龙虎榜</t>
        </is>
      </c>
      <c r="W10" s="4" t="inlineStr">
        <is>
          <t>公告偏风险(0个负面关键词, 2个异动/风险词)；融资余额上升26.5%；近期未上龙虎榜</t>
        </is>
      </c>
      <c r="X10" s="4" t="n">
        <v>66.59999999999999</v>
      </c>
      <c r="Y10" s="4" t="n">
        <v>52.64</v>
      </c>
      <c r="Z10" s="4" t="n">
        <v>2.86</v>
      </c>
      <c r="AA10" s="4" t="n">
        <v>1.93</v>
      </c>
      <c r="AB10" s="4" t="n">
        <v>0.109678</v>
      </c>
      <c r="AC10" s="4" t="n">
        <v>0.3443</v>
      </c>
      <c r="AD10" s="4" t="n">
        <v>0.3443</v>
      </c>
      <c r="AE10" s="4" t="inlineStr">
        <is>
          <t>🟠 远离均线，不宜追高</t>
        </is>
      </c>
      <c r="AF10" s="4" t="n">
        <v>1</v>
      </c>
      <c r="AG10" s="4" t="n">
        <v>29.1</v>
      </c>
      <c r="AH10" s="4" t="n">
        <v>34.84</v>
      </c>
      <c r="AI10" s="4" t="n">
        <v>38.39</v>
      </c>
      <c r="AJ10" s="4" t="n">
        <v>29.1</v>
      </c>
      <c r="AK10" s="4" t="n">
        <v>1.62</v>
      </c>
      <c r="AL10" s="4" t="inlineStr">
        <is>
          <t>1日短线计划；T+1看33.26/止损30.19；T+2看34.13/止损29.10；T+3看34.84/止损29.10</t>
        </is>
      </c>
      <c r="AM10" s="4" t="n">
        <v>30.19</v>
      </c>
      <c r="AN10" s="4" t="n">
        <v>33.26</v>
      </c>
      <c r="AO10" s="4" t="inlineStr">
        <is>
          <t>T+1：冲到33.26先减仓，跌破30.19止损；若高开低走不恋战</t>
        </is>
      </c>
      <c r="AP10" s="4" t="n">
        <v>29.1</v>
      </c>
      <c r="AQ10" s="4" t="n">
        <v>34.13</v>
      </c>
      <c r="AR10" s="4" t="inlineStr">
        <is>
          <t>T+2：未突破34.13且量能转弱则减仓，跌破29.10退出</t>
        </is>
      </c>
      <c r="AS10" s="4" t="n">
        <v>29.1</v>
      </c>
      <c r="AT10" s="4" t="n">
        <v>34.84</v>
      </c>
      <c r="AU10" s="4" t="inlineStr">
        <is>
          <t>T+3：到34.84分批止盈，跌破29.10或MA5失守退出</t>
        </is>
      </c>
    </row>
    <row r="11" ht="22" customHeight="1">
      <c r="A11" s="4" t="n">
        <v>10</v>
      </c>
      <c r="B11" s="4" t="inlineStr">
        <is>
          <t>000551</t>
        </is>
      </c>
      <c r="C11" s="4" t="inlineStr">
        <is>
          <t>创元科技</t>
        </is>
      </c>
      <c r="D11" s="2" t="inlineStr"/>
      <c r="E11" s="4" t="n">
        <v>20.08</v>
      </c>
      <c r="F11" s="4" t="n">
        <v>10.03</v>
      </c>
      <c r="G11" s="4" t="n">
        <v>80.83</v>
      </c>
      <c r="H11" s="4" t="n">
        <v>4.8</v>
      </c>
      <c r="I11" s="4" t="n">
        <v>6</v>
      </c>
      <c r="J11" s="4" t="n">
        <v>-1.1796</v>
      </c>
      <c r="K11" s="4" t="n">
        <v>1.268197</v>
      </c>
      <c r="L11" s="4" t="n">
        <v>9.039999999999999</v>
      </c>
      <c r="M11" s="4" t="n">
        <v>14.13</v>
      </c>
      <c r="N11" s="4" t="n">
        <v>8</v>
      </c>
      <c r="O11" s="4" t="n">
        <v>10</v>
      </c>
      <c r="P11" s="4" t="n">
        <v>9.720000000000001</v>
      </c>
      <c r="Q11" s="4" t="n">
        <v>20</v>
      </c>
      <c r="R11" s="4" t="n">
        <v>9.84</v>
      </c>
      <c r="S11" s="4" t="n">
        <v>1.3</v>
      </c>
      <c r="T11" s="4" t="inlineStr">
        <is>
          <t>公告偏正面(1个积极关键词)</t>
        </is>
      </c>
      <c r="U11" s="4" t="inlineStr">
        <is>
          <t>融资余额下降-1.5%</t>
        </is>
      </c>
      <c r="V11" s="4" t="inlineStr">
        <is>
          <t>近期未上龙虎榜</t>
        </is>
      </c>
      <c r="W11" s="4" t="inlineStr">
        <is>
          <t>公告偏正面(1个积极关键词)；融资余额下降-1.5%；近期未上龙虎榜</t>
        </is>
      </c>
      <c r="X11" s="4" t="n">
        <v>43.3</v>
      </c>
      <c r="Y11" s="4" t="n">
        <v>48.43</v>
      </c>
      <c r="Z11" s="4" t="n">
        <v>5.56</v>
      </c>
      <c r="AA11" s="4" t="n">
        <v>2.26</v>
      </c>
      <c r="AB11" s="4" t="n">
        <v>0.09506199999999999</v>
      </c>
      <c r="AC11" s="4" t="n">
        <v>0.0164</v>
      </c>
      <c r="AD11" s="4" t="n">
        <v>0.0164</v>
      </c>
      <c r="AE11" s="4" t="inlineStr">
        <is>
          <t>🟠 连涨多日，等回调再入</t>
        </is>
      </c>
      <c r="AF11" s="4" t="n">
        <v>1</v>
      </c>
      <c r="AG11" s="4" t="n">
        <v>18.67</v>
      </c>
      <c r="AH11" s="4" t="n">
        <v>22.33</v>
      </c>
      <c r="AI11" s="4" t="n">
        <v>23.73</v>
      </c>
      <c r="AJ11" s="4" t="n">
        <v>18.92</v>
      </c>
      <c r="AK11" s="4" t="n">
        <v>1.6</v>
      </c>
      <c r="AL11" s="4" t="inlineStr">
        <is>
          <t>1日短线计划；T+1看21.35/止损19.38；T+2看21.77/止损18.83；T+3看22.33/止损18.92</t>
        </is>
      </c>
      <c r="AM11" s="4" t="n">
        <v>19.38</v>
      </c>
      <c r="AN11" s="4" t="n">
        <v>21.35</v>
      </c>
      <c r="AO11" s="4" t="inlineStr">
        <is>
          <t>T+1：冲到21.35先减仓，跌破19.38止损；若高开低走不恋战</t>
        </is>
      </c>
      <c r="AP11" s="4" t="n">
        <v>18.83</v>
      </c>
      <c r="AQ11" s="4" t="n">
        <v>21.77</v>
      </c>
      <c r="AR11" s="4" t="inlineStr">
        <is>
          <t>T+2：未突破21.77且量能转弱则减仓，跌破18.83退出</t>
        </is>
      </c>
      <c r="AS11" s="4" t="n">
        <v>18.92</v>
      </c>
      <c r="AT11" s="4" t="n">
        <v>22.33</v>
      </c>
      <c r="AU11" s="4" t="inlineStr">
        <is>
          <t>T+3：到22.33分批止盈，跌破18.92或MA5失守退出</t>
        </is>
      </c>
    </row>
    <row r="12" ht="22" customHeight="1">
      <c r="A12" s="4" t="n">
        <v>11</v>
      </c>
      <c r="B12" s="4" t="inlineStr">
        <is>
          <t>000417</t>
        </is>
      </c>
      <c r="C12" s="4" t="inlineStr">
        <is>
          <t>合百集团</t>
        </is>
      </c>
      <c r="D12" s="2" t="inlineStr"/>
      <c r="E12" s="4" t="n">
        <v>8.609999999999999</v>
      </c>
      <c r="F12" s="4" t="n">
        <v>6.17</v>
      </c>
      <c r="G12" s="4" t="n">
        <v>79.95</v>
      </c>
      <c r="H12" s="4" t="n">
        <v>7.48</v>
      </c>
      <c r="I12" s="4" t="n">
        <v>5</v>
      </c>
      <c r="J12" s="4" t="n">
        <v>-5.8809</v>
      </c>
      <c r="K12" s="4" t="n">
        <v>1.120802</v>
      </c>
      <c r="L12" s="4" t="n">
        <v>5.98</v>
      </c>
      <c r="M12" s="4" t="n">
        <v>15</v>
      </c>
      <c r="N12" s="4" t="n">
        <v>8</v>
      </c>
      <c r="O12" s="4" t="n">
        <v>10</v>
      </c>
      <c r="P12" s="4" t="n">
        <v>9.800000000000001</v>
      </c>
      <c r="Q12" s="4" t="n">
        <v>15</v>
      </c>
      <c r="R12" s="4" t="n">
        <v>6.89</v>
      </c>
      <c r="S12" s="4" t="n">
        <v>1.8</v>
      </c>
      <c r="T12" s="4" t="inlineStr">
        <is>
          <t>近期无重大公告</t>
        </is>
      </c>
      <c r="U12" s="4" t="inlineStr">
        <is>
          <t>融资余额上升2.8%</t>
        </is>
      </c>
      <c r="V12" s="4" t="inlineStr">
        <is>
          <t>近期未上龙虎榜</t>
        </is>
      </c>
      <c r="W12" s="4" t="inlineStr">
        <is>
          <t>近期无重大公告；融资余额上升2.8%；近期未上龙虎榜</t>
        </is>
      </c>
      <c r="X12" s="4" t="n">
        <v>45.1</v>
      </c>
      <c r="Y12" s="4" t="n">
        <v>36.73</v>
      </c>
      <c r="Z12" s="4" t="n">
        <v>8.34</v>
      </c>
      <c r="AA12" s="4" t="n">
        <v>1.5</v>
      </c>
      <c r="AB12" s="4" t="n">
        <v>0.098429</v>
      </c>
      <c r="AC12" s="4" t="n">
        <v>0.3115</v>
      </c>
      <c r="AD12" s="4" t="n">
        <v>0.3115</v>
      </c>
      <c r="AE12" s="4" t="inlineStr">
        <is>
          <t>🟠 连涨2天，注意节奏</t>
        </is>
      </c>
      <c r="AF12" s="4" t="n">
        <v>3</v>
      </c>
      <c r="AG12" s="4" t="n">
        <v>8.01</v>
      </c>
      <c r="AH12" s="4" t="n">
        <v>9.57</v>
      </c>
      <c r="AI12" s="4" t="n">
        <v>10.18</v>
      </c>
      <c r="AJ12" s="4" t="n">
        <v>8.02</v>
      </c>
      <c r="AK12" s="4" t="n">
        <v>1.6</v>
      </c>
      <c r="AL12" s="4" t="inlineStr">
        <is>
          <t>3日短线计划；T+1看9.15/止损8.31；T+2看9.33/止损8.02；T+3看9.57/止损8.02</t>
        </is>
      </c>
      <c r="AM12" s="4" t="n">
        <v>8.31</v>
      </c>
      <c r="AN12" s="4" t="n">
        <v>9.15</v>
      </c>
      <c r="AO12" s="4" t="inlineStr">
        <is>
          <t>T+1：冲到9.15先减仓，跌破8.31止损；若高开低走不恋战</t>
        </is>
      </c>
      <c r="AP12" s="4" t="n">
        <v>8.02</v>
      </c>
      <c r="AQ12" s="4" t="n">
        <v>9.33</v>
      </c>
      <c r="AR12" s="4" t="inlineStr">
        <is>
          <t>T+2：未突破9.33且量能转弱则减仓，跌破8.02退出</t>
        </is>
      </c>
      <c r="AS12" s="4" t="n">
        <v>8.02</v>
      </c>
      <c r="AT12" s="4" t="n">
        <v>9.57</v>
      </c>
      <c r="AU12" s="4" t="inlineStr">
        <is>
          <t>T+3：到9.57分批止盈，跌破8.02或MA5失守退出</t>
        </is>
      </c>
    </row>
    <row r="13" ht="22" customHeight="1">
      <c r="A13" s="4" t="n">
        <v>12</v>
      </c>
      <c r="B13" s="4" t="inlineStr">
        <is>
          <t>605111</t>
        </is>
      </c>
      <c r="C13" s="4" t="inlineStr">
        <is>
          <t>新洁能</t>
        </is>
      </c>
      <c r="D13" s="2" t="inlineStr"/>
      <c r="E13" s="4" t="n">
        <v>88.93000000000001</v>
      </c>
      <c r="F13" s="4" t="n">
        <v>6.98</v>
      </c>
      <c r="G13" s="4" t="n">
        <v>79.53</v>
      </c>
      <c r="H13" s="4" t="n">
        <v>12.8</v>
      </c>
      <c r="I13" s="4" t="n">
        <v>16</v>
      </c>
      <c r="J13" s="4" t="n">
        <v>13.8239</v>
      </c>
      <c r="K13" s="4" t="n">
        <v>1.295572</v>
      </c>
      <c r="L13" s="4" t="n">
        <v>5.81</v>
      </c>
      <c r="M13" s="4" t="n">
        <v>15</v>
      </c>
      <c r="N13" s="4" t="n">
        <v>8</v>
      </c>
      <c r="O13" s="4" t="n">
        <v>10</v>
      </c>
      <c r="P13" s="4" t="n">
        <v>8.75</v>
      </c>
      <c r="Q13" s="4" t="n">
        <v>15</v>
      </c>
      <c r="R13" s="4" t="n">
        <v>7.38</v>
      </c>
      <c r="S13" s="4" t="n">
        <v>2.8</v>
      </c>
      <c r="T13" s="4" t="inlineStr">
        <is>
          <t>近期公告中性</t>
        </is>
      </c>
      <c r="U13" s="4" t="inlineStr">
        <is>
          <t>融资余额上升14.6%</t>
        </is>
      </c>
      <c r="V13" s="4" t="inlineStr">
        <is>
          <t>近期未上龙虎榜</t>
        </is>
      </c>
      <c r="W13" s="4" t="inlineStr">
        <is>
          <t>近期公告中性；融资余额上升14.6%；近期未上龙虎榜</t>
        </is>
      </c>
      <c r="X13" s="4" t="n">
        <v>64.90000000000001</v>
      </c>
      <c r="Y13" s="4" t="n">
        <v>48.46</v>
      </c>
      <c r="Z13" s="4" t="n">
        <v>3.33</v>
      </c>
      <c r="AA13" s="4" t="n">
        <v>1.45</v>
      </c>
      <c r="AB13" s="4" t="n">
        <v>0.054164</v>
      </c>
      <c r="AC13" s="4" t="n">
        <v>0.2623</v>
      </c>
      <c r="AD13" s="4" t="n">
        <v>0.2623</v>
      </c>
      <c r="AE13" s="4" t="inlineStr">
        <is>
          <t>🟠 连涨多日，等回调再入</t>
        </is>
      </c>
      <c r="AF13" s="4" t="n">
        <v>1</v>
      </c>
      <c r="AG13" s="4" t="n">
        <v>82.7</v>
      </c>
      <c r="AH13" s="4" t="n">
        <v>98.89</v>
      </c>
      <c r="AI13" s="4" t="n">
        <v>105.12</v>
      </c>
      <c r="AJ13" s="4" t="n">
        <v>82.7</v>
      </c>
      <c r="AK13" s="4" t="n">
        <v>1.6</v>
      </c>
      <c r="AL13" s="4" t="inlineStr">
        <is>
          <t>1日短线计划；T+1看94.53/止损85.82；T+2看96.40/止损82.70；T+3看98.89/止损82.70</t>
        </is>
      </c>
      <c r="AM13" s="4" t="n">
        <v>85.81999999999999</v>
      </c>
      <c r="AN13" s="4" t="n">
        <v>94.53</v>
      </c>
      <c r="AO13" s="4" t="inlineStr">
        <is>
          <t>T+1：冲到94.53先减仓，跌破85.82止损；若高开低走不恋战</t>
        </is>
      </c>
      <c r="AP13" s="4" t="n">
        <v>82.7</v>
      </c>
      <c r="AQ13" s="4" t="n">
        <v>96.40000000000001</v>
      </c>
      <c r="AR13" s="4" t="inlineStr">
        <is>
          <t>T+2：未突破96.40且量能转弱则减仓，跌破82.70退出</t>
        </is>
      </c>
      <c r="AS13" s="4" t="n">
        <v>82.7</v>
      </c>
      <c r="AT13" s="4" t="n">
        <v>98.89</v>
      </c>
      <c r="AU13" s="4" t="inlineStr">
        <is>
          <t>T+3：到98.89分批止盈，跌破82.70或MA5失守退出</t>
        </is>
      </c>
    </row>
    <row r="14" ht="22" customHeight="1">
      <c r="A14" s="4" t="n">
        <v>13</v>
      </c>
      <c r="B14" s="4" t="inlineStr">
        <is>
          <t>600459</t>
        </is>
      </c>
      <c r="C14" s="4" t="inlineStr">
        <is>
          <t>贵研铂业</t>
        </is>
      </c>
      <c r="D14" s="2" t="inlineStr"/>
      <c r="E14" s="4" t="n">
        <v>29.04</v>
      </c>
      <c r="F14" s="4" t="n">
        <v>3.31</v>
      </c>
      <c r="G14" s="4" t="n">
        <v>79.15000000000001</v>
      </c>
      <c r="H14" s="4" t="n">
        <v>15</v>
      </c>
      <c r="I14" s="4" t="n">
        <v>20</v>
      </c>
      <c r="J14" s="4" t="n">
        <v>13.8921</v>
      </c>
      <c r="K14" s="4" t="n">
        <v>1.144118</v>
      </c>
      <c r="L14" s="4" t="n">
        <v>5.01</v>
      </c>
      <c r="M14" s="4" t="n">
        <v>15</v>
      </c>
      <c r="N14" s="4" t="n">
        <v>15</v>
      </c>
      <c r="O14" s="4" t="n">
        <v>10</v>
      </c>
      <c r="P14" s="4" t="n">
        <v>8.57</v>
      </c>
      <c r="Q14" s="4" t="n">
        <v>10</v>
      </c>
      <c r="R14" s="4" t="n">
        <v>3.77</v>
      </c>
      <c r="S14" s="4" t="n">
        <v>0.8</v>
      </c>
      <c r="T14" s="4" t="inlineStr">
        <is>
          <t>近期公告中性</t>
        </is>
      </c>
      <c r="U14" s="4" t="inlineStr">
        <is>
          <t>融资余额上升0.5%</t>
        </is>
      </c>
      <c r="V14" s="4" t="inlineStr">
        <is>
          <t>近期未上龙虎榜</t>
        </is>
      </c>
      <c r="W14" s="4" t="inlineStr">
        <is>
          <t>近期公告中性；融资余额上升0.5%；近期未上龙虎榜</t>
        </is>
      </c>
      <c r="X14" s="4" t="n">
        <v>57</v>
      </c>
      <c r="Y14" s="4" t="n">
        <v>43.86</v>
      </c>
      <c r="Z14" s="4" t="n">
        <v>6.68</v>
      </c>
      <c r="AA14" s="4" t="n">
        <v>1.25</v>
      </c>
      <c r="AB14" s="4" t="n">
        <v>0.046654</v>
      </c>
      <c r="AC14" s="4" t="n">
        <v>0.623</v>
      </c>
      <c r="AD14" s="4" t="n">
        <v>0.623</v>
      </c>
      <c r="AE14" s="4" t="inlineStr">
        <is>
          <t>🟠 远离均线，不宜追高</t>
        </is>
      </c>
      <c r="AF14" s="4" t="n">
        <v>1</v>
      </c>
      <c r="AG14" s="4" t="n">
        <v>27.01</v>
      </c>
      <c r="AH14" s="4" t="n">
        <v>32.29</v>
      </c>
      <c r="AI14" s="4" t="n">
        <v>35.15</v>
      </c>
      <c r="AJ14" s="4" t="n">
        <v>27.01</v>
      </c>
      <c r="AK14" s="4" t="n">
        <v>1.6</v>
      </c>
      <c r="AL14" s="4" t="inlineStr">
        <is>
          <t>1日短线计划；T+1看30.87/止损28.02；T+2看31.48/止损27.01；T+3看32.29/止损27.01</t>
        </is>
      </c>
      <c r="AM14" s="4" t="n">
        <v>28.02</v>
      </c>
      <c r="AN14" s="4" t="n">
        <v>30.87</v>
      </c>
      <c r="AO14" s="4" t="inlineStr">
        <is>
          <t>T+1：冲到30.87先减仓，跌破28.02止损；若高开低走不恋战</t>
        </is>
      </c>
      <c r="AP14" s="4" t="n">
        <v>27.01</v>
      </c>
      <c r="AQ14" s="4" t="n">
        <v>31.48</v>
      </c>
      <c r="AR14" s="4" t="inlineStr">
        <is>
          <t>T+2：未突破31.48且量能转弱则减仓，跌破27.01退出</t>
        </is>
      </c>
      <c r="AS14" s="4" t="n">
        <v>27.01</v>
      </c>
      <c r="AT14" s="4" t="n">
        <v>32.29</v>
      </c>
      <c r="AU14" s="4" t="inlineStr">
        <is>
          <t>T+3：到32.29分批止盈，跌破27.01或MA5失守退出</t>
        </is>
      </c>
    </row>
    <row r="15" ht="22" customHeight="1">
      <c r="A15" s="4" t="n">
        <v>14</v>
      </c>
      <c r="B15" s="4" t="inlineStr">
        <is>
          <t>000510</t>
        </is>
      </c>
      <c r="C15" s="4" t="inlineStr">
        <is>
          <t>新金路</t>
        </is>
      </c>
      <c r="D15" s="2" t="inlineStr"/>
      <c r="E15" s="4" t="n">
        <v>26.1</v>
      </c>
      <c r="F15" s="4" t="n">
        <v>3.04</v>
      </c>
      <c r="G15" s="4" t="n">
        <v>78.13</v>
      </c>
      <c r="H15" s="4" t="n">
        <v>13.7</v>
      </c>
      <c r="I15" s="4" t="n">
        <v>19</v>
      </c>
      <c r="J15" s="4" t="n">
        <v>24.3642</v>
      </c>
      <c r="K15" s="4" t="n">
        <v>1.242739</v>
      </c>
      <c r="L15" s="4" t="n">
        <v>5.03</v>
      </c>
      <c r="M15" s="4" t="n">
        <v>15</v>
      </c>
      <c r="N15" s="4" t="n">
        <v>8</v>
      </c>
      <c r="O15" s="4" t="n">
        <v>10</v>
      </c>
      <c r="P15" s="4" t="n">
        <v>13.95</v>
      </c>
      <c r="Q15" s="4" t="n">
        <v>10</v>
      </c>
      <c r="R15" s="4" t="n">
        <v>3.44</v>
      </c>
      <c r="S15" s="4" t="n">
        <v>-3</v>
      </c>
      <c r="T15" s="4" t="inlineStr">
        <is>
          <t>公告偏风险(2个负面关键词, 1个异动/风险词)</t>
        </is>
      </c>
      <c r="U15" s="4" t="inlineStr">
        <is>
          <t>无两融数据</t>
        </is>
      </c>
      <c r="V15" s="4" t="inlineStr">
        <is>
          <t>近期未上龙虎榜</t>
        </is>
      </c>
      <c r="W15" s="4" t="inlineStr">
        <is>
          <t>公告偏风险(2个负面关键词, 1个异动/风险词)；无两融数据；近期未上龙虎榜</t>
        </is>
      </c>
      <c r="X15" s="4" t="n">
        <v>64</v>
      </c>
      <c r="Y15" s="4" t="n">
        <v>42.44</v>
      </c>
      <c r="Z15" s="4" t="n">
        <v>4.53</v>
      </c>
      <c r="AA15" s="4" t="n">
        <v>1.26</v>
      </c>
      <c r="AB15" s="4" t="n">
        <v>0.273527</v>
      </c>
      <c r="AC15" s="4" t="n">
        <v>0.6556999999999999</v>
      </c>
      <c r="AD15" s="4" t="n">
        <v>0.6556999999999999</v>
      </c>
      <c r="AE15" s="4" t="inlineStr">
        <is>
          <t>🟡 首日上涨，可关注</t>
        </is>
      </c>
      <c r="AF15" s="4" t="n">
        <v>1</v>
      </c>
      <c r="AG15" s="4" t="n">
        <v>24.27</v>
      </c>
      <c r="AH15" s="4" t="n">
        <v>29.02</v>
      </c>
      <c r="AI15" s="4" t="n">
        <v>31.87</v>
      </c>
      <c r="AJ15" s="4" t="n">
        <v>24.69</v>
      </c>
      <c r="AK15" s="4" t="n">
        <v>1.6</v>
      </c>
      <c r="AL15" s="4" t="inlineStr">
        <is>
          <t>1日短线计划；T+1看27.74/止损25.19；T+2看28.41/止损24.82；T+3看29.02/止损24.69</t>
        </is>
      </c>
      <c r="AM15" s="4" t="n">
        <v>25.19</v>
      </c>
      <c r="AN15" s="4" t="n">
        <v>27.74</v>
      </c>
      <c r="AO15" s="4" t="inlineStr">
        <is>
          <t>T+1：冲到27.74先减仓，跌破25.19止损；若高开低走不恋战</t>
        </is>
      </c>
      <c r="AP15" s="4" t="n">
        <v>24.82</v>
      </c>
      <c r="AQ15" s="4" t="n">
        <v>28.41</v>
      </c>
      <c r="AR15" s="4" t="inlineStr">
        <is>
          <t>T+2：未突破28.41且量能转弱则减仓，跌破24.82退出</t>
        </is>
      </c>
      <c r="AS15" s="4" t="n">
        <v>24.69</v>
      </c>
      <c r="AT15" s="4" t="n">
        <v>29.02</v>
      </c>
      <c r="AU15" s="4" t="inlineStr">
        <is>
          <t>T+3：到29.02分批止盈，跌破24.69或MA5失守退出</t>
        </is>
      </c>
    </row>
    <row r="16" ht="22" customHeight="1">
      <c r="A16" s="4" t="n">
        <v>15</v>
      </c>
      <c r="B16" s="4" t="inlineStr">
        <is>
          <t>600630</t>
        </is>
      </c>
      <c r="C16" s="4" t="inlineStr">
        <is>
          <t>龙头股份</t>
        </is>
      </c>
      <c r="D16" s="2" t="inlineStr"/>
      <c r="E16" s="4" t="n">
        <v>9.619999999999999</v>
      </c>
      <c r="F16" s="4" t="n">
        <v>-1.23</v>
      </c>
      <c r="G16" s="4" t="n">
        <v>77.05</v>
      </c>
      <c r="H16" s="4" t="n">
        <v>15</v>
      </c>
      <c r="I16" s="4" t="n">
        <v>18</v>
      </c>
      <c r="J16" s="4" t="n">
        <v>8.274100000000001</v>
      </c>
      <c r="K16" s="4" t="n">
        <v>1.088297</v>
      </c>
      <c r="L16" s="4" t="n">
        <v>5</v>
      </c>
      <c r="M16" s="4" t="n">
        <v>8.539999999999999</v>
      </c>
      <c r="N16" s="4" t="n">
        <v>8</v>
      </c>
      <c r="O16" s="4" t="n">
        <v>10</v>
      </c>
      <c r="P16" s="4" t="n">
        <v>25</v>
      </c>
      <c r="Q16" s="4" t="n">
        <v>5</v>
      </c>
      <c r="R16" s="4" t="n">
        <v>1.31</v>
      </c>
      <c r="S16" s="4" t="n">
        <v>-2.8</v>
      </c>
      <c r="T16" s="4" t="inlineStr">
        <is>
          <t>近期公告中性</t>
        </is>
      </c>
      <c r="U16" s="4" t="inlineStr">
        <is>
          <t>融资余额下降-9.4%</t>
        </is>
      </c>
      <c r="V16" s="4" t="inlineStr">
        <is>
          <t>近期未上龙虎榜</t>
        </is>
      </c>
      <c r="W16" s="4" t="inlineStr">
        <is>
          <t>近期公告中性；融资余额下降-9.4%；近期未上龙虎榜</t>
        </is>
      </c>
      <c r="X16" s="4" t="n">
        <v>32.1</v>
      </c>
      <c r="Y16" s="4" t="n">
        <v>32.22</v>
      </c>
      <c r="Z16" s="4" t="n">
        <v>14.11</v>
      </c>
      <c r="AA16" s="4" t="n">
        <v>1.25</v>
      </c>
      <c r="AB16" s="4" t="n">
        <v>0.739632</v>
      </c>
      <c r="AC16" s="4" t="n">
        <v>0.8689</v>
      </c>
      <c r="AD16" s="4" t="n">
        <v>0.8689</v>
      </c>
      <c r="AE16" s="4" t="inlineStr">
        <is>
          <t>🟢 趋势启动，适合入场</t>
        </is>
      </c>
      <c r="AF16" s="4" t="n">
        <v>2</v>
      </c>
      <c r="AG16" s="4" t="n">
        <v>8.949999999999999</v>
      </c>
      <c r="AH16" s="4" t="n">
        <v>10.7</v>
      </c>
      <c r="AI16" s="4" t="n">
        <v>11.37</v>
      </c>
      <c r="AJ16" s="4" t="n">
        <v>9.31</v>
      </c>
      <c r="AK16" s="4" t="n">
        <v>1.6</v>
      </c>
      <c r="AL16" s="4" t="inlineStr">
        <is>
          <t>2日短线计划；T+1看10.23/止损9.28；T+2看10.43/止损9.35；T+3看10.70/止损9.31</t>
        </is>
      </c>
      <c r="AM16" s="4" t="n">
        <v>9.279999999999999</v>
      </c>
      <c r="AN16" s="4" t="n">
        <v>10.23</v>
      </c>
      <c r="AO16" s="4" t="inlineStr">
        <is>
          <t>T+1：冲到10.23先减仓，跌破9.28止损；若高开低走不恋战</t>
        </is>
      </c>
      <c r="AP16" s="4" t="n">
        <v>9.35</v>
      </c>
      <c r="AQ16" s="4" t="n">
        <v>10.43</v>
      </c>
      <c r="AR16" s="4" t="inlineStr">
        <is>
          <t>T+2：未突破10.43且量能转弱则减仓，跌破9.35退出</t>
        </is>
      </c>
      <c r="AS16" s="4" t="n">
        <v>9.31</v>
      </c>
      <c r="AT16" s="4" t="n">
        <v>10.7</v>
      </c>
      <c r="AU16" s="4" t="inlineStr">
        <is>
          <t>T+3：到10.70分批止盈，跌破9.31或MA5失守退出</t>
        </is>
      </c>
    </row>
    <row r="17" ht="22" customHeight="1">
      <c r="A17" s="4" t="n">
        <v>16</v>
      </c>
      <c r="B17" s="4" t="inlineStr">
        <is>
          <t>603004</t>
        </is>
      </c>
      <c r="C17" s="4" t="inlineStr">
        <is>
          <t>鼎龙科技</t>
        </is>
      </c>
      <c r="D17" s="2" t="inlineStr"/>
      <c r="E17" s="4" t="n">
        <v>23.77</v>
      </c>
      <c r="F17" s="4" t="n">
        <v>0.08</v>
      </c>
      <c r="G17" s="4" t="n">
        <v>76.92</v>
      </c>
      <c r="H17" s="4" t="n">
        <v>13.33</v>
      </c>
      <c r="I17" s="4" t="n">
        <v>12</v>
      </c>
      <c r="J17" s="4" t="n">
        <v>3.5743</v>
      </c>
      <c r="K17" s="4" t="n">
        <v>1.14967</v>
      </c>
      <c r="L17" s="4" t="n">
        <v>7.55</v>
      </c>
      <c r="M17" s="4" t="n">
        <v>15</v>
      </c>
      <c r="N17" s="4" t="n">
        <v>8</v>
      </c>
      <c r="O17" s="4" t="n">
        <v>10</v>
      </c>
      <c r="P17" s="4" t="n">
        <v>11.12</v>
      </c>
      <c r="Q17" s="4" t="n">
        <v>5</v>
      </c>
      <c r="R17" s="4" t="n">
        <v>2.13</v>
      </c>
      <c r="S17" s="4" t="n">
        <v>2.8</v>
      </c>
      <c r="T17" s="4" t="inlineStr">
        <is>
          <t>近期公告中性</t>
        </is>
      </c>
      <c r="U17" s="4" t="inlineStr">
        <is>
          <t>融资余额上升20.4%</t>
        </is>
      </c>
      <c r="V17" s="4" t="inlineStr">
        <is>
          <t>近期未上龙虎榜</t>
        </is>
      </c>
      <c r="W17" s="4" t="inlineStr">
        <is>
          <t>近期公告中性；融资余额上升20.4%；近期未上龙虎榜</t>
        </is>
      </c>
      <c r="X17" s="4" t="n">
        <v>65.7</v>
      </c>
      <c r="Y17" s="4" t="n">
        <v>42.64</v>
      </c>
      <c r="Z17" s="4" t="n">
        <v>2.91</v>
      </c>
      <c r="AA17" s="4" t="n">
        <v>1.89</v>
      </c>
      <c r="AB17" s="4" t="n">
        <v>0.154117</v>
      </c>
      <c r="AC17" s="4" t="n">
        <v>0.7869</v>
      </c>
      <c r="AD17" s="4" t="n">
        <v>0.7869</v>
      </c>
      <c r="AE17" s="4" t="inlineStr">
        <is>
          <t>🟡 首日上涨，可关注</t>
        </is>
      </c>
      <c r="AF17" s="4" t="n">
        <v>3</v>
      </c>
      <c r="AG17" s="4" t="n">
        <v>22.11</v>
      </c>
      <c r="AH17" s="4" t="n">
        <v>26.43</v>
      </c>
      <c r="AI17" s="4" t="n">
        <v>28.1</v>
      </c>
      <c r="AJ17" s="4" t="n">
        <v>22.32</v>
      </c>
      <c r="AK17" s="4" t="n">
        <v>1.6</v>
      </c>
      <c r="AL17" s="4" t="inlineStr">
        <is>
          <t>3日短线计划；T+1看25.27/止损22.94；T+2看25.77/止损22.44；T+3看26.43/止损22.32</t>
        </is>
      </c>
      <c r="AM17" s="4" t="n">
        <v>22.94</v>
      </c>
      <c r="AN17" s="4" t="n">
        <v>25.27</v>
      </c>
      <c r="AO17" s="4" t="inlineStr">
        <is>
          <t>T+1：冲到25.27先减仓，跌破22.94止损；若高开低走不恋战</t>
        </is>
      </c>
      <c r="AP17" s="4" t="n">
        <v>22.44</v>
      </c>
      <c r="AQ17" s="4" t="n">
        <v>25.77</v>
      </c>
      <c r="AR17" s="4" t="inlineStr">
        <is>
          <t>T+2：未突破25.77且量能转弱则减仓，跌破22.44退出</t>
        </is>
      </c>
      <c r="AS17" s="4" t="n">
        <v>22.32</v>
      </c>
      <c r="AT17" s="4" t="n">
        <v>26.43</v>
      </c>
      <c r="AU17" s="4" t="inlineStr">
        <is>
          <t>T+3：到26.43分批止盈，跌破22.32或MA5失守退出</t>
        </is>
      </c>
    </row>
    <row r="18" ht="22" customHeight="1">
      <c r="A18" s="4" t="n">
        <v>17</v>
      </c>
      <c r="B18" s="4" t="inlineStr">
        <is>
          <t>603956</t>
        </is>
      </c>
      <c r="C18" s="4" t="inlineStr">
        <is>
          <t>威派格</t>
        </is>
      </c>
      <c r="D18" s="2" t="inlineStr"/>
      <c r="E18" s="4" t="n">
        <v>6.41</v>
      </c>
      <c r="F18" s="4" t="n">
        <v>9.949999999999999</v>
      </c>
      <c r="G18" s="4" t="n">
        <v>74.84</v>
      </c>
      <c r="H18" s="4" t="n">
        <v>3.9</v>
      </c>
      <c r="I18" s="4" t="n">
        <v>3</v>
      </c>
      <c r="J18" s="4" t="n">
        <v>-8.184900000000001</v>
      </c>
      <c r="K18" s="4" t="n">
        <v>1.262805</v>
      </c>
      <c r="L18" s="4" t="n">
        <v>10</v>
      </c>
      <c r="M18" s="4" t="n">
        <v>12.36</v>
      </c>
      <c r="N18" s="4" t="n">
        <v>8</v>
      </c>
      <c r="O18" s="4" t="n">
        <v>10</v>
      </c>
      <c r="P18" s="4" t="n">
        <v>10.72</v>
      </c>
      <c r="Q18" s="4" t="n">
        <v>20</v>
      </c>
      <c r="R18" s="4" t="n">
        <v>8.85</v>
      </c>
      <c r="S18" s="4" t="n">
        <v>-3</v>
      </c>
      <c r="T18" s="4" t="inlineStr">
        <is>
          <t>公告偏风险(2个负面关键词, 2个异动/风险词)</t>
        </is>
      </c>
      <c r="U18" s="4" t="inlineStr">
        <is>
          <t>无两融数据</t>
        </is>
      </c>
      <c r="V18" s="4" t="inlineStr">
        <is>
          <t>近期未上龙虎榜</t>
        </is>
      </c>
      <c r="W18" s="4" t="inlineStr">
        <is>
          <t>公告偏风险(2个负面关键词, 2个异动/风险词)；无两融数据；近期未上龙虎榜</t>
        </is>
      </c>
      <c r="X18" s="4" t="n">
        <v>39.7</v>
      </c>
      <c r="Y18" s="4" t="n">
        <v>48.41</v>
      </c>
      <c r="Z18" s="4" t="n">
        <v>9.779999999999999</v>
      </c>
      <c r="AA18" s="4" t="n">
        <v>2.97</v>
      </c>
      <c r="AB18" s="4" t="n">
        <v>0.137264</v>
      </c>
      <c r="AC18" s="4" t="n">
        <v>0.1148</v>
      </c>
      <c r="AD18" s="4" t="n">
        <v>0.1148</v>
      </c>
      <c r="AE18" s="4" t="inlineStr">
        <is>
          <t>🟠 连涨多日，等回调再入</t>
        </is>
      </c>
      <c r="AF18" s="4" t="n">
        <v>1</v>
      </c>
      <c r="AG18" s="4" t="n">
        <v>5.96</v>
      </c>
      <c r="AH18" s="4" t="n">
        <v>7.13</v>
      </c>
      <c r="AI18" s="4" t="n">
        <v>7.58</v>
      </c>
      <c r="AJ18" s="4" t="n">
        <v>5.97</v>
      </c>
      <c r="AK18" s="4" t="n">
        <v>1.6</v>
      </c>
      <c r="AL18" s="4" t="inlineStr">
        <is>
          <t>1日短线计划；T+1看6.81/止损6.19；T+2看6.95/止损5.96；T+3看7.13/止损5.97</t>
        </is>
      </c>
      <c r="AM18" s="4" t="n">
        <v>6.19</v>
      </c>
      <c r="AN18" s="4" t="n">
        <v>6.81</v>
      </c>
      <c r="AO18" s="4" t="inlineStr">
        <is>
          <t>T+1：冲到6.81先减仓，跌破6.19止损；若高开低走不恋战</t>
        </is>
      </c>
      <c r="AP18" s="4" t="n">
        <v>5.96</v>
      </c>
      <c r="AQ18" s="4" t="n">
        <v>6.95</v>
      </c>
      <c r="AR18" s="4" t="inlineStr">
        <is>
          <t>T+2：未突破6.95且量能转弱则减仓，跌破5.96退出</t>
        </is>
      </c>
      <c r="AS18" s="4" t="n">
        <v>5.97</v>
      </c>
      <c r="AT18" s="4" t="n">
        <v>7.13</v>
      </c>
      <c r="AU18" s="4" t="inlineStr">
        <is>
          <t>T+3：到7.13分批止盈，跌破5.97或MA5失守退出</t>
        </is>
      </c>
    </row>
    <row r="19" ht="22" customHeight="1">
      <c r="A19" s="4" t="n">
        <v>18</v>
      </c>
      <c r="B19" s="4" t="inlineStr">
        <is>
          <t>605069</t>
        </is>
      </c>
      <c r="C19" s="4" t="inlineStr">
        <is>
          <t>正和生态</t>
        </is>
      </c>
      <c r="D19" s="2" t="inlineStr"/>
      <c r="E19" s="4" t="n">
        <v>15.62</v>
      </c>
      <c r="F19" s="4" t="n">
        <v>7.65</v>
      </c>
      <c r="G19" s="4" t="n">
        <v>74.48</v>
      </c>
      <c r="H19" s="4" t="n">
        <v>4.8</v>
      </c>
      <c r="I19" s="4" t="n">
        <v>6</v>
      </c>
      <c r="J19" s="4" t="n">
        <v>-7.0819</v>
      </c>
      <c r="K19" s="4" t="n">
        <v>1.297558</v>
      </c>
      <c r="L19" s="4" t="n">
        <v>5.42</v>
      </c>
      <c r="M19" s="4" t="n">
        <v>15</v>
      </c>
      <c r="N19" s="4" t="n">
        <v>8</v>
      </c>
      <c r="O19" s="4" t="n">
        <v>10</v>
      </c>
      <c r="P19" s="4" t="n">
        <v>11.39</v>
      </c>
      <c r="Q19" s="4" t="n">
        <v>15</v>
      </c>
      <c r="R19" s="4" t="n">
        <v>7.87</v>
      </c>
      <c r="S19" s="4" t="n">
        <v>-3</v>
      </c>
      <c r="T19" s="4" t="inlineStr">
        <is>
          <t>公告偏风险(2个负面关键词, 2个异动/风险词)</t>
        </is>
      </c>
      <c r="U19" s="4" t="inlineStr">
        <is>
          <t>无两融数据</t>
        </is>
      </c>
      <c r="V19" s="4" t="inlineStr">
        <is>
          <t>近期未上龙虎榜</t>
        </is>
      </c>
      <c r="W19" s="4" t="inlineStr">
        <is>
          <t>公告偏风险(2个负面关键词, 2个异动/风险词)；无两融数据；近期未上龙虎榜</t>
        </is>
      </c>
      <c r="X19" s="4" t="n">
        <v>58.4</v>
      </c>
      <c r="Y19" s="4" t="n">
        <v>50.4</v>
      </c>
      <c r="Z19" s="4" t="n">
        <v>6</v>
      </c>
      <c r="AA19" s="4" t="n">
        <v>1.35</v>
      </c>
      <c r="AB19" s="4" t="n">
        <v>0.165663</v>
      </c>
      <c r="AC19" s="4" t="n">
        <v>0.2131</v>
      </c>
      <c r="AD19" s="4" t="n">
        <v>0.2131</v>
      </c>
      <c r="AE19" s="4" t="inlineStr">
        <is>
          <t>🟠 连涨2天，注意节奏</t>
        </is>
      </c>
      <c r="AF19" s="4" t="n">
        <v>1</v>
      </c>
      <c r="AG19" s="4" t="n">
        <v>14.53</v>
      </c>
      <c r="AH19" s="4" t="n">
        <v>17.37</v>
      </c>
      <c r="AI19" s="4" t="n">
        <v>18.81</v>
      </c>
      <c r="AJ19" s="4" t="n">
        <v>14.53</v>
      </c>
      <c r="AK19" s="4" t="n">
        <v>1.6</v>
      </c>
      <c r="AL19" s="4" t="inlineStr">
        <is>
          <t>1日短线计划；T+1看16.60/止损15.07；T+2看16.93/止损14.53；T+3看17.37/止损14.53</t>
        </is>
      </c>
      <c r="AM19" s="4" t="n">
        <v>15.07</v>
      </c>
      <c r="AN19" s="4" t="n">
        <v>16.6</v>
      </c>
      <c r="AO19" s="4" t="inlineStr">
        <is>
          <t>T+1：冲到16.60先减仓，跌破15.07止损；若高开低走不恋战</t>
        </is>
      </c>
      <c r="AP19" s="4" t="n">
        <v>14.53</v>
      </c>
      <c r="AQ19" s="4" t="n">
        <v>16.93</v>
      </c>
      <c r="AR19" s="4" t="inlineStr">
        <is>
          <t>T+2：未突破16.93且量能转弱则减仓，跌破14.53退出</t>
        </is>
      </c>
      <c r="AS19" s="4" t="n">
        <v>14.53</v>
      </c>
      <c r="AT19" s="4" t="n">
        <v>17.37</v>
      </c>
      <c r="AU19" s="4" t="inlineStr">
        <is>
          <t>T+3：到17.37分批止盈，跌破14.53或MA5失守退出</t>
        </is>
      </c>
    </row>
    <row r="20" ht="22" customHeight="1">
      <c r="A20" s="4" t="n">
        <v>19</v>
      </c>
      <c r="B20" s="4" t="inlineStr">
        <is>
          <t>603929</t>
        </is>
      </c>
      <c r="C20" s="4" t="inlineStr">
        <is>
          <t>亚翔集成</t>
        </is>
      </c>
      <c r="D20" s="2" t="inlineStr"/>
      <c r="E20" s="4" t="n">
        <v>274.69</v>
      </c>
      <c r="F20" s="4" t="n">
        <v>5.31</v>
      </c>
      <c r="G20" s="4" t="n">
        <v>73.19</v>
      </c>
      <c r="H20" s="4" t="n">
        <v>12.5</v>
      </c>
      <c r="I20" s="4" t="n">
        <v>15</v>
      </c>
      <c r="J20" s="4" t="n">
        <v>16.7286</v>
      </c>
      <c r="K20" s="4" t="n">
        <v>1.320889</v>
      </c>
      <c r="L20" s="4" t="n">
        <v>10</v>
      </c>
      <c r="M20" s="4" t="n">
        <v>15</v>
      </c>
      <c r="N20" s="4" t="n">
        <v>8</v>
      </c>
      <c r="O20" s="4" t="n">
        <v>10</v>
      </c>
      <c r="P20" s="4" t="n">
        <v>10.28</v>
      </c>
      <c r="Q20" s="4" t="n">
        <v>15</v>
      </c>
      <c r="R20" s="4" t="n">
        <v>5.41</v>
      </c>
      <c r="S20" s="4" t="n">
        <v>-3</v>
      </c>
      <c r="T20" s="4" t="inlineStr">
        <is>
          <t>公告偏风险(0个负面关键词, 4个异动/风险词)</t>
        </is>
      </c>
      <c r="U20" s="4" t="inlineStr">
        <is>
          <t>无两融数据</t>
        </is>
      </c>
      <c r="V20" s="4" t="inlineStr">
        <is>
          <t>近期未上龙虎榜</t>
        </is>
      </c>
      <c r="W20" s="4" t="inlineStr">
        <is>
          <t>公告偏风险(0个负面关键词, 4个异动/风险词)；无两融数据；近期未上龙虎榜</t>
        </is>
      </c>
      <c r="X20" s="4" t="n">
        <v>65.40000000000001</v>
      </c>
      <c r="Y20" s="4" t="n">
        <v>58.8</v>
      </c>
      <c r="Z20" s="4" t="n">
        <v>6.21</v>
      </c>
      <c r="AA20" s="4" t="n">
        <v>2.82</v>
      </c>
      <c r="AB20" s="4" t="n">
        <v>0.118877</v>
      </c>
      <c r="AC20" s="4" t="n">
        <v>0.459</v>
      </c>
      <c r="AD20" s="4" t="n">
        <v>0.459</v>
      </c>
      <c r="AE20" s="4" t="inlineStr">
        <is>
          <t>🟠 连涨多日，等回调再入</t>
        </is>
      </c>
      <c r="AF20" s="4" t="n">
        <v>1</v>
      </c>
      <c r="AG20" s="4" t="n">
        <v>255.46</v>
      </c>
      <c r="AH20" s="4" t="n">
        <v>305.46</v>
      </c>
      <c r="AI20" s="4" t="n">
        <v>335.98</v>
      </c>
      <c r="AJ20" s="4" t="n">
        <v>255.46</v>
      </c>
      <c r="AK20" s="4" t="n">
        <v>1.6</v>
      </c>
      <c r="AL20" s="4" t="inlineStr">
        <is>
          <t>1日短线计划；T+1看292.00/止损265.08；T+2看299.21/止损255.46；T+3看305.46/止损255.46</t>
        </is>
      </c>
      <c r="AM20" s="4" t="n">
        <v>265.08</v>
      </c>
      <c r="AN20" s="4" t="n">
        <v>292</v>
      </c>
      <c r="AO20" s="4" t="inlineStr">
        <is>
          <t>T+1：冲到292.00先减仓，跌破265.08止损；若高开低走不恋战</t>
        </is>
      </c>
      <c r="AP20" s="4" t="n">
        <v>255.46</v>
      </c>
      <c r="AQ20" s="4" t="n">
        <v>299.21</v>
      </c>
      <c r="AR20" s="4" t="inlineStr">
        <is>
          <t>T+2：未突破299.21且量能转弱则减仓，跌破255.46退出</t>
        </is>
      </c>
      <c r="AS20" s="4" t="n">
        <v>255.46</v>
      </c>
      <c r="AT20" s="4" t="n">
        <v>305.46</v>
      </c>
      <c r="AU20" s="4" t="inlineStr">
        <is>
          <t>T+3：到305.46分批止盈，跌破255.46或MA5失守退出</t>
        </is>
      </c>
    </row>
    <row r="21" ht="22" customHeight="1">
      <c r="A21" s="4" t="n">
        <v>20</v>
      </c>
      <c r="B21" s="4" t="inlineStr">
        <is>
          <t>603938</t>
        </is>
      </c>
      <c r="C21" s="4" t="inlineStr">
        <is>
          <t>三孚股份</t>
        </is>
      </c>
      <c r="D21" s="2" t="inlineStr"/>
      <c r="E21" s="4" t="n">
        <v>74.40000000000001</v>
      </c>
      <c r="F21" s="4" t="n">
        <v>-1.86</v>
      </c>
      <c r="G21" s="4" t="n">
        <v>72.95</v>
      </c>
      <c r="H21" s="4" t="n">
        <v>14</v>
      </c>
      <c r="I21" s="4" t="n">
        <v>20</v>
      </c>
      <c r="J21" s="4" t="n">
        <v>16.9332</v>
      </c>
      <c r="K21" s="4" t="n">
        <v>1.296348</v>
      </c>
      <c r="L21" s="4" t="n">
        <v>5.64</v>
      </c>
      <c r="M21" s="4" t="n">
        <v>15</v>
      </c>
      <c r="N21" s="4" t="n">
        <v>8</v>
      </c>
      <c r="O21" s="4" t="n">
        <v>10</v>
      </c>
      <c r="P21" s="4" t="n">
        <v>11.69</v>
      </c>
      <c r="Q21" s="4" t="n">
        <v>5</v>
      </c>
      <c r="R21" s="4" t="n">
        <v>0.82</v>
      </c>
      <c r="S21" s="4" t="n">
        <v>-0.2</v>
      </c>
      <c r="T21" s="4" t="inlineStr">
        <is>
          <t>公告偏风险(1个负面关键词, 3个异动/风险词)</t>
        </is>
      </c>
      <c r="U21" s="4" t="inlineStr">
        <is>
          <t>融资余额上升22.8%</t>
        </is>
      </c>
      <c r="V21" s="4" t="inlineStr">
        <is>
          <t>近期未上龙虎榜</t>
        </is>
      </c>
      <c r="W21" s="4" t="inlineStr">
        <is>
          <t>公告偏风险(1个负面关键词, 3个异动/风险词)；融资余额上升22.8%；近期未上龙虎榜</t>
        </is>
      </c>
      <c r="X21" s="4" t="n">
        <v>61</v>
      </c>
      <c r="Y21" s="4" t="n">
        <v>50.14</v>
      </c>
      <c r="Z21" s="4" t="n">
        <v>5.16</v>
      </c>
      <c r="AA21" s="4" t="n">
        <v>1.41</v>
      </c>
      <c r="AB21" s="4" t="n">
        <v>0.178316</v>
      </c>
      <c r="AC21" s="4" t="n">
        <v>0.918</v>
      </c>
      <c r="AD21" s="4" t="n">
        <v>0.918</v>
      </c>
      <c r="AE21" s="4" t="inlineStr">
        <is>
          <t>🟢 回调即机会</t>
        </is>
      </c>
      <c r="AF21" s="4" t="n">
        <v>1</v>
      </c>
      <c r="AG21" s="4" t="n">
        <v>69.19</v>
      </c>
      <c r="AH21" s="4" t="n">
        <v>83.42</v>
      </c>
      <c r="AI21" s="4" t="n">
        <v>92.45</v>
      </c>
      <c r="AJ21" s="4" t="n">
        <v>69.64</v>
      </c>
      <c r="AK21" s="4" t="n">
        <v>1.73</v>
      </c>
      <c r="AL21" s="4" t="inlineStr">
        <is>
          <t>1日短线计划；T+1看79.21/止损71.80；T+2看81.62/止损69.99；T+3看83.42/止损69.64</t>
        </is>
      </c>
      <c r="AM21" s="4" t="n">
        <v>71.8</v>
      </c>
      <c r="AN21" s="4" t="n">
        <v>79.20999999999999</v>
      </c>
      <c r="AO21" s="4" t="inlineStr">
        <is>
          <t>T+1：冲到79.21先减仓，跌破71.80止损；若高开低走不恋战</t>
        </is>
      </c>
      <c r="AP21" s="4" t="n">
        <v>69.98999999999999</v>
      </c>
      <c r="AQ21" s="4" t="n">
        <v>81.62</v>
      </c>
      <c r="AR21" s="4" t="inlineStr">
        <is>
          <t>T+2：未突破81.62且量能转弱则减仓，跌破69.99退出</t>
        </is>
      </c>
      <c r="AS21" s="4" t="n">
        <v>69.64</v>
      </c>
      <c r="AT21" s="4" t="n">
        <v>83.42</v>
      </c>
      <c r="AU21" s="4" t="inlineStr">
        <is>
          <t>T+3：到83.42分批止盈，跌破69.64或MA5失守退出</t>
        </is>
      </c>
    </row>
  </sheetData>
  <autoFilter ref="A1:AU21"/>
  <conditionalFormatting sqref="G2:G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2:F21">
    <cfRule type="cellIs" priority="2" operator="greaterThan" dxfId="0">
      <formula>0</formula>
    </cfRule>
    <cfRule type="cellIs" priority="3" operator="lessThan" dxfId="1">
      <formula>0</formula>
    </cfRule>
  </conditionalFormatting>
  <conditionalFormatting sqref="X2:X21">
    <cfRule type="dataBar" priority="4">
      <dataBar>
        <cfvo type="num" val="0"/>
        <cfvo type="num" val="80"/>
        <color rgb="005B9BD5"/>
      </dataBar>
    </cfRule>
  </conditionalFormatting>
  <conditionalFormatting sqref="AA2:AA21">
    <cfRule type="dataBar" priority="5">
      <dataBar>
        <cfvo type="num" val="0"/>
        <cfvo type="num" val="3"/>
        <color rgb="0070AD47"/>
      </dataBar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12" customWidth="1" min="3" max="3"/>
    <col width="11" customWidth="1" min="4" max="4"/>
    <col width="12" customWidth="1" min="5" max="5"/>
    <col width="11" customWidth="1" min="6" max="6"/>
  </cols>
  <sheetData>
    <row r="1" ht="22" customHeight="1">
      <c r="A1" s="8" t="inlineStr">
        <is>
          <t>技术条件诊断</t>
        </is>
      </c>
      <c r="B1" s="2" t="n"/>
      <c r="C1" s="2" t="n"/>
      <c r="D1" s="2" t="n"/>
      <c r="E1" s="2" t="n"/>
      <c r="F1" s="2" t="n"/>
    </row>
    <row r="2" ht="22" customHeight="1">
      <c r="A2" s="2" t="n"/>
      <c r="B2" s="2" t="n"/>
      <c r="C2" s="2" t="n"/>
      <c r="D2" s="2" t="n"/>
      <c r="E2" s="2" t="n"/>
      <c r="F2" s="2" t="n"/>
    </row>
    <row r="3" ht="22" customHeight="1">
      <c r="A3" s="7" t="inlineStr">
        <is>
          <t>condition_name</t>
        </is>
      </c>
      <c r="B3" s="7" t="inlineStr">
        <is>
          <t>before_count</t>
        </is>
      </c>
      <c r="C3" s="7" t="inlineStr">
        <is>
          <t>pass_count</t>
        </is>
      </c>
      <c r="D3" s="7" t="inlineStr">
        <is>
          <t>pass_rate</t>
        </is>
      </c>
      <c r="E3" s="7" t="inlineStr">
        <is>
          <t>fail_count</t>
        </is>
      </c>
      <c r="F3" s="7" t="inlineStr">
        <is>
          <t>fail_rate</t>
        </is>
      </c>
    </row>
    <row r="4" ht="22" customHeight="1">
      <c r="A4" s="4" t="inlineStr">
        <is>
          <t>close &gt; MA3 &gt; MA5 &gt; MA21</t>
        </is>
      </c>
      <c r="B4" s="4" t="n">
        <v>2125</v>
      </c>
      <c r="C4" s="4" t="n">
        <v>106</v>
      </c>
      <c r="D4" s="4" t="n">
        <v>0.0499</v>
      </c>
      <c r="E4" s="4" t="n">
        <v>2019</v>
      </c>
      <c r="F4" s="4" t="n">
        <v>0.9500999999999999</v>
      </c>
    </row>
    <row r="5" ht="22" customHeight="1">
      <c r="A5" s="4" t="inlineStr">
        <is>
          <t>close &gt; MA20 today</t>
        </is>
      </c>
      <c r="B5" s="4" t="n">
        <v>2125</v>
      </c>
      <c r="C5" s="4" t="n">
        <v>386</v>
      </c>
      <c r="D5" s="4" t="n">
        <v>0.1816</v>
      </c>
      <c r="E5" s="4" t="n">
        <v>1739</v>
      </c>
      <c r="F5" s="4" t="n">
        <v>0.8184</v>
      </c>
    </row>
    <row r="6" ht="22" customHeight="1">
      <c r="A6" s="4" t="inlineStr">
        <is>
          <t>MA20 persistence days within 20</t>
        </is>
      </c>
      <c r="B6" s="4" t="n">
        <v>2125</v>
      </c>
      <c r="C6" s="4" t="n">
        <v>138</v>
      </c>
      <c r="D6" s="4" t="n">
        <v>0.0649</v>
      </c>
      <c r="E6" s="4" t="n">
        <v>1987</v>
      </c>
      <c r="F6" s="4" t="n">
        <v>0.9351</v>
      </c>
    </row>
    <row r="7" ht="22" customHeight="1">
      <c r="A7" s="4" t="inlineStr">
        <is>
          <t>MA20 slope up</t>
        </is>
      </c>
      <c r="B7" s="4" t="n">
        <v>2125</v>
      </c>
      <c r="C7" s="4" t="n">
        <v>296</v>
      </c>
      <c r="D7" s="4" t="n">
        <v>0.1393</v>
      </c>
      <c r="E7" s="4" t="n">
        <v>1829</v>
      </c>
      <c r="F7" s="4" t="n">
        <v>0.8607</v>
      </c>
    </row>
    <row r="8" ht="22" customHeight="1">
      <c r="A8" s="4" t="inlineStr">
        <is>
          <t>close not overheated vs MA20</t>
        </is>
      </c>
      <c r="B8" s="4" t="n">
        <v>2125</v>
      </c>
      <c r="C8" s="4" t="n">
        <v>2055</v>
      </c>
      <c r="D8" s="4" t="n">
        <v>0.9671</v>
      </c>
      <c r="E8" s="4" t="n">
        <v>70</v>
      </c>
      <c r="F8" s="4" t="n">
        <v>0.0329</v>
      </c>
    </row>
    <row r="9" ht="22" customHeight="1">
      <c r="A9" s="4" t="inlineStr">
        <is>
          <t>MA20 trend quality</t>
        </is>
      </c>
      <c r="B9" s="4" t="n">
        <v>2125</v>
      </c>
      <c r="C9" s="4" t="n">
        <v>74</v>
      </c>
      <c r="D9" s="4" t="n">
        <v>0.0348</v>
      </c>
      <c r="E9" s="4" t="n">
        <v>2051</v>
      </c>
      <c r="F9" s="4" t="n">
        <v>0.9651999999999999</v>
      </c>
    </row>
    <row r="10" ht="22" customHeight="1">
      <c r="A10" s="4" t="inlineStr">
        <is>
          <t>+DI &gt; -DI</t>
        </is>
      </c>
      <c r="B10" s="4" t="n">
        <v>2125</v>
      </c>
      <c r="C10" s="4" t="n">
        <v>338</v>
      </c>
      <c r="D10" s="4" t="n">
        <v>0.1591</v>
      </c>
      <c r="E10" s="4" t="n">
        <v>1787</v>
      </c>
      <c r="F10" s="4" t="n">
        <v>0.8409</v>
      </c>
    </row>
    <row r="11" ht="22" customHeight="1">
      <c r="A11" s="4" t="inlineStr">
        <is>
          <t>ADX &gt; ADX_THRESHOLD</t>
        </is>
      </c>
      <c r="B11" s="4" t="n">
        <v>2125</v>
      </c>
      <c r="C11" s="4" t="n">
        <v>1962</v>
      </c>
      <c r="D11" s="4" t="n">
        <v>0.9233</v>
      </c>
      <c r="E11" s="4" t="n">
        <v>163</v>
      </c>
      <c r="F11" s="4" t="n">
        <v>0.0767</v>
      </c>
    </row>
    <row r="12" ht="22" customHeight="1">
      <c r="A12" s="4" t="inlineStr">
        <is>
          <t>volume / previous_5day_avg_volume &gt;= VOL_MULT</t>
        </is>
      </c>
      <c r="B12" s="4" t="n">
        <v>2125</v>
      </c>
      <c r="C12" s="4" t="n">
        <v>877</v>
      </c>
      <c r="D12" s="4" t="n">
        <v>0.4127</v>
      </c>
      <c r="E12" s="4" t="n">
        <v>1248</v>
      </c>
      <c r="F12" s="4" t="n">
        <v>0.5873</v>
      </c>
    </row>
    <row r="13" ht="22" customHeight="1">
      <c r="A13" s="4" t="inlineStr">
        <is>
          <t>EXPMA7 &gt; EXPMA21</t>
        </is>
      </c>
      <c r="B13" s="4" t="n">
        <v>2125</v>
      </c>
      <c r="C13" s="4" t="n">
        <v>380</v>
      </c>
      <c r="D13" s="4" t="n">
        <v>0.1788</v>
      </c>
      <c r="E13" s="4" t="n">
        <v>1745</v>
      </c>
      <c r="F13" s="4" t="n">
        <v>0.8212</v>
      </c>
    </row>
    <row r="14" ht="22" customHeight="1">
      <c r="A14" s="4" t="inlineStr">
        <is>
          <t>EXPMA7 recent golden cross within N days</t>
        </is>
      </c>
      <c r="B14" s="4" t="n">
        <v>2125</v>
      </c>
      <c r="C14" s="4" t="n">
        <v>81</v>
      </c>
      <c r="D14" s="4" t="n">
        <v>0.0381</v>
      </c>
      <c r="E14" s="4" t="n">
        <v>2044</v>
      </c>
      <c r="F14" s="4" t="n">
        <v>0.9619</v>
      </c>
    </row>
    <row r="15" ht="22" customHeight="1">
      <c r="A15" s="4" t="inlineStr">
        <is>
          <t>DIF &gt; 0 and DEA &gt; 0</t>
        </is>
      </c>
      <c r="B15" s="4" t="n">
        <v>2125</v>
      </c>
      <c r="C15" s="4" t="n">
        <v>376</v>
      </c>
      <c r="D15" s="4" t="n">
        <v>0.1769</v>
      </c>
      <c r="E15" s="4" t="n">
        <v>1749</v>
      </c>
      <c r="F15" s="4" t="n">
        <v>0.8231000000000001</v>
      </c>
    </row>
    <row r="16" ht="22" customHeight="1">
      <c r="A16" s="4" t="inlineStr">
        <is>
          <t>DIF &gt; DEA</t>
        </is>
      </c>
      <c r="B16" s="4" t="n">
        <v>2125</v>
      </c>
      <c r="C16" s="4" t="n">
        <v>529</v>
      </c>
      <c r="D16" s="4" t="n">
        <v>0.2489</v>
      </c>
      <c r="E16" s="4" t="n">
        <v>1596</v>
      </c>
      <c r="F16" s="4" t="n">
        <v>0.7511</v>
      </c>
    </row>
    <row r="17" ht="22" customHeight="1">
      <c r="A17" s="4" t="inlineStr">
        <is>
          <t>MACD golden cross above zero</t>
        </is>
      </c>
      <c r="B17" s="4" t="n">
        <v>2125</v>
      </c>
      <c r="C17" s="4" t="n">
        <v>16</v>
      </c>
      <c r="D17" s="4" t="n">
        <v>0.0075</v>
      </c>
      <c r="E17" s="4" t="n">
        <v>2109</v>
      </c>
      <c r="F17" s="4" t="n">
        <v>0.9925</v>
      </c>
    </row>
    <row r="18" ht="22" customHeight="1">
      <c r="A18" s="4" t="inlineStr">
        <is>
          <t>MACD second golden cross above zero</t>
        </is>
      </c>
      <c r="B18" s="4" t="n">
        <v>2125</v>
      </c>
      <c r="C18" s="4" t="n">
        <v>282</v>
      </c>
      <c r="D18" s="4" t="n">
        <v>0.1327</v>
      </c>
      <c r="E18" s="4" t="n">
        <v>1843</v>
      </c>
      <c r="F18" s="4" t="n">
        <v>0.8673</v>
      </c>
    </row>
    <row r="19" ht="22" customHeight="1">
      <c r="A19" s="4" t="inlineStr">
        <is>
          <t>MACD second golden cross within N days</t>
        </is>
      </c>
      <c r="B19" s="4" t="n">
        <v>2125</v>
      </c>
      <c r="C19" s="4" t="n">
        <v>21</v>
      </c>
      <c r="D19" s="4" t="n">
        <v>0.009900000000000001</v>
      </c>
      <c r="E19" s="4" t="n">
        <v>2104</v>
      </c>
      <c r="F19" s="4" t="n">
        <v>0.9901</v>
      </c>
    </row>
    <row r="20" ht="22" customHeight="1">
      <c r="A20" s="4" t="inlineStr">
        <is>
          <t>最终技术面通过</t>
        </is>
      </c>
      <c r="B20" s="4" t="n">
        <v>2125</v>
      </c>
      <c r="C20" s="4" t="n">
        <v>68</v>
      </c>
      <c r="D20" s="4" t="n">
        <v>0.032</v>
      </c>
      <c r="E20" s="4" t="n">
        <v>2057</v>
      </c>
      <c r="F20" s="4" t="n">
        <v>0.968</v>
      </c>
    </row>
  </sheetData>
  <autoFilter ref="A3:F2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2" customWidth="1" min="4" max="4"/>
    <col width="11" customWidth="1" min="5" max="5"/>
  </cols>
  <sheetData>
    <row r="1" ht="22" customHeight="1">
      <c r="A1" s="8" t="inlineStr">
        <is>
          <t>筛选漏斗</t>
        </is>
      </c>
      <c r="B1" s="2" t="n"/>
      <c r="C1" s="2" t="n"/>
      <c r="D1" s="2" t="n"/>
      <c r="E1" s="2" t="n"/>
    </row>
    <row r="2" ht="22" customHeight="1">
      <c r="A2" s="2" t="n"/>
      <c r="B2" s="2" t="n"/>
      <c r="C2" s="2" t="n"/>
      <c r="D2" s="2" t="n"/>
      <c r="E2" s="2" t="n"/>
    </row>
    <row r="3" ht="22" customHeight="1">
      <c r="A3" s="7" t="inlineStr">
        <is>
          <t>step_name</t>
        </is>
      </c>
      <c r="B3" s="7" t="inlineStr">
        <is>
          <t>before_count</t>
        </is>
      </c>
      <c r="C3" s="7" t="inlineStr">
        <is>
          <t>after_count</t>
        </is>
      </c>
      <c r="D3" s="7" t="inlineStr">
        <is>
          <t>pass_count</t>
        </is>
      </c>
      <c r="E3" s="7" t="inlineStr">
        <is>
          <t>pass_rate</t>
        </is>
      </c>
    </row>
    <row r="4" ht="22" customHeight="1">
      <c r="A4" s="4" t="inlineStr">
        <is>
          <t>初始股票池</t>
        </is>
      </c>
      <c r="B4" s="4" t="n">
        <v>5526</v>
      </c>
      <c r="C4" s="4" t="n">
        <v>5526</v>
      </c>
      <c r="D4" s="4" t="n">
        <v>5526</v>
      </c>
      <c r="E4" s="4" t="n">
        <v>1</v>
      </c>
    </row>
    <row r="5" ht="22" customHeight="1">
      <c r="A5" s="4" t="inlineStr">
        <is>
          <t>去除 ST</t>
        </is>
      </c>
      <c r="B5" s="4" t="n">
        <v>5526</v>
      </c>
      <c r="C5" s="4" t="n">
        <v>5304</v>
      </c>
      <c r="D5" s="4" t="n">
        <v>5304</v>
      </c>
      <c r="E5" s="4" t="n">
        <v>0.9598</v>
      </c>
    </row>
    <row r="6" ht="22" customHeight="1">
      <c r="A6" s="4" t="inlineStr">
        <is>
          <t>去除北交所</t>
        </is>
      </c>
      <c r="B6" s="4" t="n">
        <v>5304</v>
      </c>
      <c r="C6" s="4" t="n">
        <v>4986</v>
      </c>
      <c r="D6" s="4" t="n">
        <v>4986</v>
      </c>
      <c r="E6" s="4" t="n">
        <v>0.9399999999999999</v>
      </c>
    </row>
    <row r="7" ht="22" customHeight="1">
      <c r="A7" s="4" t="inlineStr">
        <is>
          <t>去除停牌</t>
        </is>
      </c>
      <c r="B7" s="4" t="n">
        <v>4986</v>
      </c>
      <c r="C7" s="4" t="n">
        <v>4973</v>
      </c>
      <c r="D7" s="4" t="n">
        <v>4973</v>
      </c>
      <c r="E7" s="4" t="n">
        <v>0.9974</v>
      </c>
    </row>
    <row r="8" ht="22" customHeight="1">
      <c r="A8" s="4" t="inlineStr">
        <is>
          <t>保留沪深主板</t>
        </is>
      </c>
      <c r="B8" s="4" t="n">
        <v>4973</v>
      </c>
      <c r="C8" s="4" t="n">
        <v>2126</v>
      </c>
      <c r="D8" s="4" t="n">
        <v>2126</v>
      </c>
      <c r="E8" s="4" t="n">
        <v>0.4275</v>
      </c>
    </row>
    <row r="9" ht="22" customHeight="1">
      <c r="A9" s="4" t="inlineStr">
        <is>
          <t>MA 条件</t>
        </is>
      </c>
      <c r="B9" s="4" t="n">
        <v>2125</v>
      </c>
      <c r="C9" s="4" t="n">
        <v>106</v>
      </c>
      <c r="D9" s="4" t="n">
        <v>106</v>
      </c>
      <c r="E9" s="4" t="n">
        <v>0.0499</v>
      </c>
    </row>
    <row r="10" ht="22" customHeight="1">
      <c r="A10" s="4" t="inlineStr">
        <is>
          <t>MA20 趋势持续性</t>
        </is>
      </c>
      <c r="B10" s="4" t="n">
        <v>2125</v>
      </c>
      <c r="C10" s="4" t="n">
        <v>74</v>
      </c>
      <c r="D10" s="4" t="n">
        <v>74</v>
      </c>
      <c r="E10" s="4" t="n">
        <v>0.0348</v>
      </c>
    </row>
    <row r="11" ht="22" customHeight="1">
      <c r="A11" s="4" t="inlineStr">
        <is>
          <t>DMI 条件</t>
        </is>
      </c>
      <c r="B11" s="4" t="n">
        <v>2125</v>
      </c>
      <c r="C11" s="4" t="n">
        <v>306</v>
      </c>
      <c r="D11" s="4" t="n">
        <v>306</v>
      </c>
      <c r="E11" s="4" t="n">
        <v>0.144</v>
      </c>
    </row>
    <row r="12" ht="22" customHeight="1">
      <c r="A12" s="4" t="inlineStr">
        <is>
          <t>成交量条件</t>
        </is>
      </c>
      <c r="B12" s="4" t="n">
        <v>2125</v>
      </c>
      <c r="C12" s="4" t="n">
        <v>877</v>
      </c>
      <c r="D12" s="4" t="n">
        <v>877</v>
      </c>
      <c r="E12" s="4" t="n">
        <v>0.4127</v>
      </c>
    </row>
    <row r="13" ht="22" customHeight="1">
      <c r="A13" s="4" t="inlineStr">
        <is>
          <t>EXPMA 条件</t>
        </is>
      </c>
      <c r="B13" s="4" t="n">
        <v>2125</v>
      </c>
      <c r="C13" s="4" t="n">
        <v>380</v>
      </c>
      <c r="D13" s="4" t="n">
        <v>380</v>
      </c>
      <c r="E13" s="4" t="n">
        <v>0.1788</v>
      </c>
    </row>
    <row r="14" ht="22" customHeight="1">
      <c r="A14" s="4" t="inlineStr">
        <is>
          <t>MACD 二次金叉条件</t>
        </is>
      </c>
      <c r="B14" s="4" t="n">
        <v>2125</v>
      </c>
      <c r="C14" s="4" t="n">
        <v>200</v>
      </c>
      <c r="D14" s="4" t="n">
        <v>200</v>
      </c>
      <c r="E14" s="4" t="n">
        <v>0.0941</v>
      </c>
    </row>
    <row r="15" ht="22" customHeight="1">
      <c r="A15" s="4" t="inlineStr">
        <is>
          <t>技术条件合计</t>
        </is>
      </c>
      <c r="B15" s="4" t="n">
        <v>2125</v>
      </c>
      <c r="C15" s="4" t="n">
        <v>61</v>
      </c>
      <c r="D15" s="4" t="n">
        <v>61</v>
      </c>
      <c r="E15" s="4" t="n">
        <v>0.0287</v>
      </c>
    </row>
    <row r="16" ht="22" customHeight="1">
      <c r="A16" s="4" t="inlineStr">
        <is>
          <t>成交额过滤</t>
        </is>
      </c>
      <c r="B16" s="4" t="n">
        <v>61</v>
      </c>
      <c r="C16" s="4" t="n">
        <v>43</v>
      </c>
      <c r="D16" s="4" t="n">
        <v>43</v>
      </c>
      <c r="E16" s="4" t="n">
        <v>0.7049</v>
      </c>
    </row>
    <row r="17" ht="22" customHeight="1">
      <c r="A17" s="4" t="inlineStr">
        <is>
          <t>资金净流入条件</t>
        </is>
      </c>
      <c r="B17" s="4" t="n">
        <v>61</v>
      </c>
      <c r="C17" s="4" t="n">
        <v>43</v>
      </c>
      <c r="D17" s="4" t="n">
        <v>43</v>
      </c>
      <c r="E17" s="4" t="n">
        <v>0.7049</v>
      </c>
    </row>
    <row r="18" ht="22" customHeight="1">
      <c r="A18" s="4" t="inlineStr">
        <is>
          <t>板块热度条件</t>
        </is>
      </c>
      <c r="B18" s="4" t="n">
        <v>61</v>
      </c>
      <c r="C18" s="4" t="n">
        <v>12</v>
      </c>
      <c r="D18" s="4" t="n">
        <v>12</v>
      </c>
      <c r="E18" s="4" t="n">
        <v>0.1967</v>
      </c>
    </row>
    <row r="19" ht="22" customHeight="1">
      <c r="A19" s="4" t="inlineStr">
        <is>
          <t>板块内领涨条件</t>
        </is>
      </c>
      <c r="B19" s="4" t="n">
        <v>61</v>
      </c>
      <c r="C19" s="4" t="n">
        <v>12</v>
      </c>
      <c r="D19" s="4" t="n">
        <v>12</v>
      </c>
      <c r="E19" s="4" t="n">
        <v>0.1967</v>
      </c>
    </row>
    <row r="20" ht="22" customHeight="1">
      <c r="A20" s="4" t="inlineStr">
        <is>
          <t>最终股票池</t>
        </is>
      </c>
      <c r="B20" s="4" t="n">
        <v>61</v>
      </c>
      <c r="C20" s="4" t="n">
        <v>43</v>
      </c>
      <c r="D20" s="4" t="n">
        <v>43</v>
      </c>
      <c r="E20" s="4" t="n">
        <v>0.7049</v>
      </c>
    </row>
  </sheetData>
  <autoFilter ref="A3:E2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"/>
  <sheetViews>
    <sheetView showGridLines="0" workbookViewId="0">
      <selection activeCell="A1" sqref="A1"/>
    </sheetView>
  </sheetViews>
  <sheetFormatPr baseColWidth="8" defaultRowHeight="15"/>
  <cols>
    <col width="28" customWidth="1" min="1" max="1"/>
  </cols>
  <sheetData>
    <row r="1" ht="22" customHeight="1">
      <c r="A1" s="4" t="inlineStr">
        <is>
          <t>准确性评估</t>
        </is>
      </c>
    </row>
    <row r="2" ht="22" customHeight="1">
      <c r="A2" s="4" t="inlineStr">
        <is>
          <t>暂无成熟样本；请在未来交易日后运行 python main.py --evaluate --eval-fetch-missing。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2026-06-29T06:44:38Z</dcterms:created>
  <dcterms:modified xmlns:dcterms="http://purl.org/dc/terms/" xmlns:xsi="http://www.w3.org/2001/XMLSchema-instance" xsi:type="dcterms:W3CDTF">2026-06-29T06:44:38Z</dcterms:modified>
</cp:coreProperties>
</file>